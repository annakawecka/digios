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wecka/digios/analysis/working/"/>
    </mc:Choice>
  </mc:AlternateContent>
  <xr:revisionPtr revIDLastSave="0" documentId="13_ncr:1_{3C41C7D3-FBFF-7D42-98D5-5162C19A3A66}" xr6:coauthVersionLast="47" xr6:coauthVersionMax="47" xr10:uidLastSave="{00000000-0000-0000-0000-000000000000}"/>
  <bookViews>
    <workbookView xWindow="0" yWindow="740" windowWidth="19760" windowHeight="17160" activeTab="1" xr2:uid="{A110777A-7F0B-7E4D-A346-2F5C12B69EB1}"/>
  </bookViews>
  <sheets>
    <sheet name="Separate peaks" sheetId="1" r:id="rId1"/>
    <sheet name="Merged peak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5" i="2" l="1"/>
  <c r="O34" i="2"/>
  <c r="P34" i="2" s="1"/>
  <c r="O33" i="2"/>
  <c r="O8" i="2"/>
  <c r="O7" i="2"/>
  <c r="P7" i="2" s="1"/>
  <c r="O6" i="2"/>
  <c r="O44" i="2"/>
  <c r="O43" i="2"/>
  <c r="O42" i="2"/>
  <c r="O32" i="2"/>
  <c r="O17" i="2"/>
  <c r="O16" i="2"/>
  <c r="O15" i="2"/>
  <c r="O14" i="2"/>
  <c r="N15" i="2"/>
  <c r="N14" i="2"/>
  <c r="F17" i="2" s="1"/>
  <c r="M15" i="2"/>
  <c r="M16" i="2"/>
  <c r="M17" i="2"/>
  <c r="M14" i="2"/>
  <c r="M44" i="2"/>
  <c r="L44" i="2"/>
  <c r="N44" i="2" s="1"/>
  <c r="P43" i="2"/>
  <c r="N43" i="2"/>
  <c r="M43" i="2"/>
  <c r="L43" i="2"/>
  <c r="P42" i="2"/>
  <c r="M42" i="2"/>
  <c r="N42" i="2" s="1"/>
  <c r="L42" i="2"/>
  <c r="M35" i="2"/>
  <c r="L35" i="2"/>
  <c r="N35" i="2" s="1"/>
  <c r="N34" i="2"/>
  <c r="M34" i="2"/>
  <c r="L34" i="2"/>
  <c r="P33" i="2"/>
  <c r="M33" i="2"/>
  <c r="L33" i="2"/>
  <c r="N33" i="2" s="1"/>
  <c r="M32" i="2"/>
  <c r="L32" i="2"/>
  <c r="N32" i="2" s="1"/>
  <c r="M8" i="2"/>
  <c r="L8" i="2"/>
  <c r="N8" i="2" s="1"/>
  <c r="F41" i="2" s="1"/>
  <c r="N7" i="2"/>
  <c r="M7" i="2"/>
  <c r="L7" i="2"/>
  <c r="P6" i="2"/>
  <c r="M6" i="2"/>
  <c r="L6" i="2"/>
  <c r="N6" i="2" s="1"/>
  <c r="F23" i="2" s="1"/>
  <c r="O5" i="2"/>
  <c r="M5" i="2"/>
  <c r="L5" i="2"/>
  <c r="N5" i="2" s="1"/>
  <c r="O4" i="2"/>
  <c r="N4" i="2"/>
  <c r="F10" i="2" s="1"/>
  <c r="M4" i="2"/>
  <c r="L4" i="2"/>
  <c r="E46" i="2"/>
  <c r="C46" i="2"/>
  <c r="E45" i="2"/>
  <c r="C45" i="2"/>
  <c r="F44" i="2"/>
  <c r="E44" i="2"/>
  <c r="C44" i="2"/>
  <c r="F43" i="2"/>
  <c r="E43" i="2"/>
  <c r="C43" i="2"/>
  <c r="F42" i="2"/>
  <c r="E42" i="2"/>
  <c r="C42" i="2"/>
  <c r="E41" i="2"/>
  <c r="C41" i="2"/>
  <c r="E36" i="2"/>
  <c r="C36" i="2"/>
  <c r="E35" i="2"/>
  <c r="C35" i="2"/>
  <c r="F34" i="2"/>
  <c r="E34" i="2"/>
  <c r="C34" i="2"/>
  <c r="E33" i="2"/>
  <c r="C33" i="2"/>
  <c r="F32" i="2"/>
  <c r="E32" i="2"/>
  <c r="C32" i="2"/>
  <c r="F31" i="2"/>
  <c r="E31" i="2"/>
  <c r="C31" i="2"/>
  <c r="F26" i="2"/>
  <c r="E26" i="2"/>
  <c r="C26" i="2"/>
  <c r="F25" i="2"/>
  <c r="E25" i="2"/>
  <c r="C25" i="2"/>
  <c r="F24" i="2"/>
  <c r="E24" i="2"/>
  <c r="C24" i="2"/>
  <c r="E23" i="2"/>
  <c r="C23" i="2"/>
  <c r="F18" i="2"/>
  <c r="E18" i="2"/>
  <c r="C18" i="2"/>
  <c r="E17" i="2"/>
  <c r="C17" i="2"/>
  <c r="E16" i="2"/>
  <c r="C16" i="2"/>
  <c r="E11" i="2"/>
  <c r="C11" i="2"/>
  <c r="E10" i="2"/>
  <c r="C10" i="2"/>
  <c r="E9" i="2"/>
  <c r="C9" i="2"/>
  <c r="E4" i="2"/>
  <c r="C4" i="2"/>
  <c r="M43" i="1"/>
  <c r="M44" i="1"/>
  <c r="L43" i="1"/>
  <c r="L44" i="1"/>
  <c r="N44" i="1" s="1"/>
  <c r="F48" i="1" s="1"/>
  <c r="M42" i="1"/>
  <c r="L42" i="1"/>
  <c r="L32" i="1"/>
  <c r="N32" i="1" s="1"/>
  <c r="F19" i="1" s="1"/>
  <c r="M32" i="1"/>
  <c r="L33" i="1"/>
  <c r="M33" i="1"/>
  <c r="L34" i="1"/>
  <c r="M34" i="1"/>
  <c r="N34" i="1" s="1"/>
  <c r="F36" i="1" s="1"/>
  <c r="L35" i="1"/>
  <c r="M35" i="1"/>
  <c r="L23" i="1"/>
  <c r="M23" i="1"/>
  <c r="L24" i="1"/>
  <c r="M24" i="1"/>
  <c r="L25" i="1"/>
  <c r="M25" i="1"/>
  <c r="L26" i="1"/>
  <c r="M26" i="1"/>
  <c r="M15" i="1"/>
  <c r="M16" i="1"/>
  <c r="M17" i="1"/>
  <c r="M14" i="1"/>
  <c r="L15" i="1"/>
  <c r="L16" i="1"/>
  <c r="N16" i="1" s="1"/>
  <c r="F34" i="1" s="1"/>
  <c r="L17" i="1"/>
  <c r="L14" i="1"/>
  <c r="M5" i="1"/>
  <c r="M6" i="1"/>
  <c r="M7" i="1"/>
  <c r="M8" i="1"/>
  <c r="L5" i="1"/>
  <c r="L6" i="1"/>
  <c r="N6" i="1" s="1"/>
  <c r="F24" i="1" s="1"/>
  <c r="L7" i="1"/>
  <c r="L8" i="1"/>
  <c r="L4" i="1"/>
  <c r="M4" i="1"/>
  <c r="P44" i="2" l="1"/>
  <c r="F33" i="2"/>
  <c r="P32" i="2"/>
  <c r="P35" i="2"/>
  <c r="F16" i="2"/>
  <c r="P5" i="2"/>
  <c r="P8" i="2"/>
  <c r="P4" i="2"/>
  <c r="N5" i="1"/>
  <c r="F16" i="1" s="1"/>
  <c r="N15" i="1"/>
  <c r="F25" i="1" s="1"/>
  <c r="N43" i="1"/>
  <c r="F37" i="1" s="1"/>
  <c r="N33" i="1"/>
  <c r="F27" i="1" s="1"/>
  <c r="N7" i="1"/>
  <c r="F33" i="1" s="1"/>
  <c r="N17" i="1"/>
  <c r="F45" i="1" s="1"/>
  <c r="N25" i="1"/>
  <c r="F35" i="1" s="1"/>
  <c r="N8" i="1"/>
  <c r="F44" i="1" s="1"/>
  <c r="N14" i="1"/>
  <c r="F17" i="1" s="1"/>
  <c r="N42" i="1"/>
  <c r="F28" i="1" s="1"/>
  <c r="N26" i="1"/>
  <c r="F46" i="1" s="1"/>
  <c r="N24" i="1"/>
  <c r="F26" i="1" s="1"/>
  <c r="N4" i="1"/>
  <c r="F10" i="1" s="1"/>
  <c r="N35" i="1"/>
  <c r="F47" i="1" s="1"/>
  <c r="N23" i="1"/>
  <c r="F18" i="1" s="1"/>
  <c r="E34" i="1" l="1"/>
  <c r="O16" i="1" s="1"/>
  <c r="P16" i="1" s="1"/>
  <c r="E35" i="1"/>
  <c r="O25" i="1" s="1"/>
  <c r="P25" i="1" s="1"/>
  <c r="E36" i="1"/>
  <c r="O34" i="1" s="1"/>
  <c r="P34" i="1" s="1"/>
  <c r="E37" i="1"/>
  <c r="O43" i="1" s="1"/>
  <c r="P43" i="1" s="1"/>
  <c r="E38" i="1"/>
  <c r="E39" i="1"/>
  <c r="E44" i="1"/>
  <c r="O8" i="1" s="1"/>
  <c r="P8" i="1" s="1"/>
  <c r="E45" i="1"/>
  <c r="O17" i="1" s="1"/>
  <c r="P17" i="1" s="1"/>
  <c r="E46" i="1"/>
  <c r="O26" i="1" s="1"/>
  <c r="P26" i="1" s="1"/>
  <c r="E47" i="1"/>
  <c r="O35" i="1" s="1"/>
  <c r="P35" i="1" s="1"/>
  <c r="E48" i="1"/>
  <c r="O44" i="1" s="1"/>
  <c r="P44" i="1" s="1"/>
  <c r="E33" i="1"/>
  <c r="O7" i="1" s="1"/>
  <c r="P7" i="1" s="1"/>
  <c r="E17" i="1"/>
  <c r="O14" i="1" s="1"/>
  <c r="P14" i="1" s="1"/>
  <c r="E18" i="1"/>
  <c r="O23" i="1" s="1"/>
  <c r="P23" i="1" s="1"/>
  <c r="E19" i="1"/>
  <c r="O32" i="1" s="1"/>
  <c r="P32" i="1" s="1"/>
  <c r="E24" i="1"/>
  <c r="O6" i="1" s="1"/>
  <c r="P6" i="1" s="1"/>
  <c r="E25" i="1"/>
  <c r="O15" i="1" s="1"/>
  <c r="P15" i="1" s="1"/>
  <c r="E26" i="1"/>
  <c r="O24" i="1" s="1"/>
  <c r="P24" i="1" s="1"/>
  <c r="E27" i="1"/>
  <c r="O33" i="1" s="1"/>
  <c r="P33" i="1" s="1"/>
  <c r="E28" i="1"/>
  <c r="O42" i="1" s="1"/>
  <c r="P42" i="1" s="1"/>
  <c r="E16" i="1"/>
  <c r="O5" i="1" s="1"/>
  <c r="P5" i="1" s="1"/>
  <c r="E10" i="1"/>
  <c r="O4" i="1" s="1"/>
  <c r="P4" i="1" s="1"/>
  <c r="E11" i="1"/>
  <c r="E9" i="1"/>
  <c r="E4" i="1"/>
  <c r="C45" i="1"/>
  <c r="C46" i="1"/>
  <c r="C47" i="1"/>
  <c r="C48" i="1"/>
  <c r="C44" i="1"/>
  <c r="C34" i="1"/>
  <c r="C35" i="1"/>
  <c r="C36" i="1"/>
  <c r="C37" i="1"/>
  <c r="C38" i="1"/>
  <c r="C39" i="1"/>
  <c r="C33" i="1"/>
  <c r="C25" i="1"/>
  <c r="C26" i="1"/>
  <c r="C27" i="1"/>
  <c r="C28" i="1"/>
  <c r="C24" i="1"/>
  <c r="C16" i="1"/>
  <c r="C17" i="1"/>
  <c r="C18" i="1"/>
  <c r="C19" i="1"/>
  <c r="C10" i="1"/>
  <c r="C11" i="1"/>
  <c r="C9" i="1"/>
  <c r="C4" i="1"/>
</calcChain>
</file>

<file path=xl/sharedStrings.xml><?xml version="1.0" encoding="utf-8"?>
<sst xmlns="http://schemas.openxmlformats.org/spreadsheetml/2006/main" count="302" uniqueCount="25">
  <si>
    <t>Ex</t>
  </si>
  <si>
    <t>Integral</t>
  </si>
  <si>
    <t>corrected Ex</t>
  </si>
  <si>
    <t>Integral corr</t>
  </si>
  <si>
    <t>Ex 1,982</t>
  </si>
  <si>
    <t>Det 0</t>
  </si>
  <si>
    <t>Det 1</t>
  </si>
  <si>
    <t>Det 2</t>
  </si>
  <si>
    <t>Det 3</t>
  </si>
  <si>
    <t>Det 4</t>
  </si>
  <si>
    <t>Det 5</t>
  </si>
  <si>
    <t>-</t>
  </si>
  <si>
    <t>Dt</t>
  </si>
  <si>
    <t>Theta mean</t>
  </si>
  <si>
    <t>T min</t>
  </si>
  <si>
    <t>T max</t>
  </si>
  <si>
    <t>sin(x)dx * 180/pi</t>
  </si>
  <si>
    <t>DegToRadians</t>
  </si>
  <si>
    <t>Ex 3,552</t>
  </si>
  <si>
    <t>Ex 3,630</t>
  </si>
  <si>
    <t>Ex 3,920</t>
  </si>
  <si>
    <t>Ex 5,255</t>
  </si>
  <si>
    <t>theta mean</t>
  </si>
  <si>
    <t>Int. corr * sin(x)dx * 180 / pi</t>
  </si>
  <si>
    <t>Ex 3,53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</si>
</sst>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DD9"/>
        <bgColor indexed="64"/>
      </patternFill>
    </fill>
    <fill>
      <patternFill patternType="solid">
        <fgColor rgb="FFFFD3E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3E2"/>
      <color rgb="FFFFFD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 Ex</a:t>
            </a:r>
            <a:r>
              <a:rPr lang="en-GB" baseline="0"/>
              <a:t> 1,982 MeV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'Separate peaks'!$L$4:$L$8</c:f>
              <c:numCache>
                <c:formatCode>General</c:formatCode>
                <c:ptCount val="5"/>
                <c:pt idx="0">
                  <c:v>12.74</c:v>
                </c:pt>
                <c:pt idx="1">
                  <c:v>22.53</c:v>
                </c:pt>
                <c:pt idx="2">
                  <c:v>28.18</c:v>
                </c:pt>
                <c:pt idx="3">
                  <c:v>32.86</c:v>
                </c:pt>
                <c:pt idx="4">
                  <c:v>36.93</c:v>
                </c:pt>
              </c:numCache>
            </c:numRef>
          </c:xVal>
          <c:yVal>
            <c:numRef>
              <c:f>'Separate peaks'!$P$4:$P$8</c:f>
              <c:numCache>
                <c:formatCode>General</c:formatCode>
                <c:ptCount val="5"/>
                <c:pt idx="0">
                  <c:v>115.38941976097151</c:v>
                </c:pt>
                <c:pt idx="1">
                  <c:v>57.365844162351834</c:v>
                </c:pt>
                <c:pt idx="2">
                  <c:v>39.97562609483704</c:v>
                </c:pt>
                <c:pt idx="3">
                  <c:v>26.557502316916512</c:v>
                </c:pt>
                <c:pt idx="4">
                  <c:v>14.694299647901511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C8-6946-9D3E-FDB98F882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960496"/>
        <c:axId val="1401531840"/>
      </c:scatterChart>
      <c:valAx>
        <c:axId val="876960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401531840"/>
        <c:crosses val="autoZero"/>
        <c:crossBetween val="midCat"/>
      </c:valAx>
      <c:valAx>
        <c:axId val="14015318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876960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 Ex 3,552</a:t>
            </a:r>
            <a:r>
              <a:rPr lang="en-GB" baseline="0"/>
              <a:t> MeV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'Separate peaks'!$L$14:$L$17</c:f>
              <c:numCache>
                <c:formatCode>General</c:formatCode>
                <c:ptCount val="4"/>
                <c:pt idx="0">
                  <c:v>15.484999999999999</c:v>
                </c:pt>
                <c:pt idx="1">
                  <c:v>23.75</c:v>
                </c:pt>
                <c:pt idx="2">
                  <c:v>29.36</c:v>
                </c:pt>
                <c:pt idx="3">
                  <c:v>33.99</c:v>
                </c:pt>
              </c:numCache>
            </c:numRef>
          </c:xVal>
          <c:yVal>
            <c:numRef>
              <c:f>'Separate peaks'!$P$14:$P$17</c:f>
              <c:numCache>
                <c:formatCode>General</c:formatCode>
                <c:ptCount val="4"/>
                <c:pt idx="0">
                  <c:v>61.517925098299123</c:v>
                </c:pt>
                <c:pt idx="1">
                  <c:v>97.533769898134068</c:v>
                </c:pt>
                <c:pt idx="2">
                  <c:v>70.248098825820549</c:v>
                </c:pt>
                <c:pt idx="3">
                  <c:v>33.514865052626021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FE-E54B-8217-643F4763B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960496"/>
        <c:axId val="1401531840"/>
      </c:scatterChart>
      <c:valAx>
        <c:axId val="876960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401531840"/>
        <c:crosses val="autoZero"/>
        <c:crossBetween val="midCat"/>
      </c:valAx>
      <c:valAx>
        <c:axId val="1401531840"/>
        <c:scaling>
          <c:logBase val="10"/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876960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 Ex 3,630</a:t>
            </a:r>
            <a:r>
              <a:rPr lang="en-GB" baseline="0"/>
              <a:t> MeV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'Separate peaks'!$L$23:$L$26</c:f>
              <c:numCache>
                <c:formatCode>General</c:formatCode>
                <c:ptCount val="4"/>
                <c:pt idx="0">
                  <c:v>14.790000000000001</c:v>
                </c:pt>
                <c:pt idx="1">
                  <c:v>23.495000000000001</c:v>
                </c:pt>
                <c:pt idx="2">
                  <c:v>29.17</c:v>
                </c:pt>
                <c:pt idx="3">
                  <c:v>33.83</c:v>
                </c:pt>
              </c:numCache>
            </c:numRef>
          </c:xVal>
          <c:yVal>
            <c:numRef>
              <c:f>'Separate peaks'!$P$23:$P$26</c:f>
              <c:numCache>
                <c:formatCode>General</c:formatCode>
                <c:ptCount val="4"/>
                <c:pt idx="0">
                  <c:v>257.65259869113311</c:v>
                </c:pt>
                <c:pt idx="1">
                  <c:v>73.769433017729668</c:v>
                </c:pt>
                <c:pt idx="2">
                  <c:v>21.958580735296049</c:v>
                </c:pt>
                <c:pt idx="3">
                  <c:v>21.85160937146491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A7-124B-9B68-14286AC9A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960496"/>
        <c:axId val="1401531840"/>
      </c:scatterChart>
      <c:valAx>
        <c:axId val="876960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401531840"/>
        <c:crosses val="autoZero"/>
        <c:crossBetween val="midCat"/>
      </c:valAx>
      <c:valAx>
        <c:axId val="14015318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876960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 Ex 3,630</a:t>
            </a:r>
            <a:r>
              <a:rPr lang="en-GB" baseline="0"/>
              <a:t> MeV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'Separate peaks'!$L$32:$L$35</c:f>
              <c:numCache>
                <c:formatCode>General</c:formatCode>
                <c:ptCount val="4"/>
                <c:pt idx="0">
                  <c:v>12.62</c:v>
                </c:pt>
                <c:pt idx="1">
                  <c:v>22.484999999999999</c:v>
                </c:pt>
                <c:pt idx="2">
                  <c:v>28.414999999999999</c:v>
                </c:pt>
                <c:pt idx="3">
                  <c:v>33.215000000000003</c:v>
                </c:pt>
              </c:numCache>
            </c:numRef>
          </c:xVal>
          <c:yVal>
            <c:numRef>
              <c:f>'Separate peaks'!$P$32:$P$35</c:f>
              <c:numCache>
                <c:formatCode>General</c:formatCode>
                <c:ptCount val="4"/>
                <c:pt idx="0">
                  <c:v>136.11215554543352</c:v>
                </c:pt>
                <c:pt idx="1">
                  <c:v>60.720844203526966</c:v>
                </c:pt>
                <c:pt idx="2">
                  <c:v>48.23234970238245</c:v>
                </c:pt>
                <c:pt idx="3">
                  <c:v>31.730341223589523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64-0B4F-8D89-25BA94312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960496"/>
        <c:axId val="1401531840"/>
      </c:scatterChart>
      <c:valAx>
        <c:axId val="876960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401531840"/>
        <c:crosses val="autoZero"/>
        <c:crossBetween val="midCat"/>
      </c:valAx>
      <c:valAx>
        <c:axId val="14015318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876960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 Ex 3,630</a:t>
            </a:r>
            <a:r>
              <a:rPr lang="en-GB" baseline="0"/>
              <a:t> MeV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'Separate peaks'!$L$42:$L$44</c:f>
              <c:numCache>
                <c:formatCode>General</c:formatCode>
                <c:ptCount val="3"/>
                <c:pt idx="0">
                  <c:v>16.149999999999999</c:v>
                </c:pt>
                <c:pt idx="1">
                  <c:v>24.4</c:v>
                </c:pt>
                <c:pt idx="2">
                  <c:v>30.04</c:v>
                </c:pt>
              </c:numCache>
            </c:numRef>
          </c:xVal>
          <c:yVal>
            <c:numRef>
              <c:f>'Separate peaks'!$P$42:$P$44</c:f>
              <c:numCache>
                <c:formatCode>General</c:formatCode>
                <c:ptCount val="3"/>
                <c:pt idx="0">
                  <c:v>86.09206729148103</c:v>
                </c:pt>
                <c:pt idx="1">
                  <c:v>65.36487492616628</c:v>
                </c:pt>
                <c:pt idx="2">
                  <c:v>75.517246693266344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7F-754C-ACEE-17843606D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960496"/>
        <c:axId val="1401531840"/>
      </c:scatterChart>
      <c:valAx>
        <c:axId val="876960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401531840"/>
        <c:crosses val="autoZero"/>
        <c:crossBetween val="midCat"/>
      </c:valAx>
      <c:valAx>
        <c:axId val="1401531840"/>
        <c:scaling>
          <c:logBase val="10"/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876960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343961</xdr:colOff>
      <xdr:row>1</xdr:row>
      <xdr:rowOff>110067</xdr:rowOff>
    </xdr:from>
    <xdr:to>
      <xdr:col>7</xdr:col>
      <xdr:colOff>545044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41C61F-27F0-91EC-E63E-199C7AC723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21168</xdr:colOff>
      <xdr:row>6</xdr:row>
      <xdr:rowOff>42331</xdr:rowOff>
    </xdr:from>
    <xdr:to>
      <xdr:col>16</xdr:col>
      <xdr:colOff>232835</xdr:colOff>
      <xdr:row>19</xdr:row>
      <xdr:rowOff>171448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48AFF3-CF9D-644A-A1E3-5F0C96862C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624417</xdr:colOff>
      <xdr:row>5</xdr:row>
      <xdr:rowOff>179916</xdr:rowOff>
    </xdr:from>
    <xdr:to>
      <xdr:col>22</xdr:col>
      <xdr:colOff>243417</xdr:colOff>
      <xdr:row>19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4F3480-E78E-1A4B-AA77-2DDABEB4A3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550333</xdr:colOff>
      <xdr:row>21</xdr:row>
      <xdr:rowOff>42333</xdr:rowOff>
    </xdr:from>
    <xdr:to>
      <xdr:col>22</xdr:col>
      <xdr:colOff>169333</xdr:colOff>
      <xdr:row>34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67D973-BCFE-6F43-BF6B-EE4036EE31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518584</xdr:colOff>
      <xdr:row>36</xdr:row>
      <xdr:rowOff>31750</xdr:rowOff>
    </xdr:from>
    <xdr:to>
      <xdr:col>22</xdr:col>
      <xdr:colOff>137584</xdr:colOff>
      <xdr:row>49</xdr:row>
      <xdr:rowOff>160867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6ECB74B-CE84-A142-B9F8-DF94E30843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5D6D-49C4-1340-8E22-4ED32A920CEA}">
  <dimension ref="B2:R48"/>
  <sheetViews>
    <sheetView topLeftCell="G2" zoomScale="120" zoomScaleNormal="120" workbookViewId="0">
      <selection activeCell="J21" sqref="J21:P22"/>
    </sheetView>
  </sheetViews>
  <sheetFormatPr baseColWidth="10" defaultRowHeight="16" x14ac:dyDescent="0.2"/>
  <cols>
    <col min="5" max="5" width="10.83203125" customWidth="1"/>
    <col min="6" max="6" width="14" customWidth="1"/>
    <col min="14" max="14" width="13.83203125" customWidth="1"/>
  </cols>
  <sheetData>
    <row r="2" spans="2:18" x14ac:dyDescent="0.2">
      <c r="B2" t="s">
        <v>5</v>
      </c>
      <c r="I2" s="3" t="s">
        <v>4</v>
      </c>
      <c r="J2" t="s">
        <v>14</v>
      </c>
      <c r="K2" t="s">
        <v>15</v>
      </c>
      <c r="L2" t="s">
        <v>13</v>
      </c>
      <c r="M2" t="s">
        <v>12</v>
      </c>
      <c r="N2" t="s">
        <v>16</v>
      </c>
      <c r="O2" t="s">
        <v>3</v>
      </c>
      <c r="P2" t="s">
        <v>23</v>
      </c>
      <c r="R2" t="s">
        <v>17</v>
      </c>
    </row>
    <row r="3" spans="2:18" x14ac:dyDescent="0.2">
      <c r="B3" t="s">
        <v>0</v>
      </c>
      <c r="C3" t="s">
        <v>2</v>
      </c>
      <c r="D3" t="s">
        <v>1</v>
      </c>
      <c r="E3" t="s">
        <v>3</v>
      </c>
      <c r="F3" t="s">
        <v>16</v>
      </c>
      <c r="G3" t="s">
        <v>22</v>
      </c>
      <c r="I3" t="s">
        <v>5</v>
      </c>
      <c r="J3" t="s">
        <v>11</v>
      </c>
      <c r="K3" t="s">
        <v>11</v>
      </c>
      <c r="L3" t="s">
        <v>11</v>
      </c>
      <c r="M3" t="s">
        <v>11</v>
      </c>
      <c r="N3" t="s">
        <v>11</v>
      </c>
    </row>
    <row r="4" spans="2:18" x14ac:dyDescent="0.2">
      <c r="B4">
        <v>0.150836</v>
      </c>
      <c r="C4">
        <f>B4-B4</f>
        <v>0</v>
      </c>
      <c r="D4">
        <v>4.9355599999999997</v>
      </c>
      <c r="E4">
        <f>D4*4/4</f>
        <v>4.9355599999999997</v>
      </c>
      <c r="I4" t="s">
        <v>6</v>
      </c>
      <c r="J4">
        <v>7</v>
      </c>
      <c r="K4">
        <v>18.48</v>
      </c>
      <c r="L4">
        <f>(K4+J4)/2</f>
        <v>12.74</v>
      </c>
      <c r="M4">
        <f>K4-J4</f>
        <v>11.48</v>
      </c>
      <c r="N4">
        <f>SIN(L4*$R$4)*M4</f>
        <v>2.5316522797045882</v>
      </c>
      <c r="O4">
        <f>E10</f>
        <v>45.578699999999998</v>
      </c>
      <c r="P4">
        <f>O4*N4</f>
        <v>115.38941976097151</v>
      </c>
      <c r="R4">
        <v>1.7453292499999998E-2</v>
      </c>
    </row>
    <row r="5" spans="2:18" x14ac:dyDescent="0.2">
      <c r="I5" t="s">
        <v>7</v>
      </c>
      <c r="J5">
        <v>19.97</v>
      </c>
      <c r="K5">
        <v>25.09</v>
      </c>
      <c r="L5">
        <f t="shared" ref="L5:L8" si="0">(K5+J5)/2</f>
        <v>22.53</v>
      </c>
      <c r="M5">
        <f t="shared" ref="M5:M8" si="1">K5-J5</f>
        <v>5.120000000000001</v>
      </c>
      <c r="N5">
        <f>SIN(L5*$R$4)*M5</f>
        <v>1.9618156629123236</v>
      </c>
      <c r="O5">
        <f>E16</f>
        <v>29.241199999999999</v>
      </c>
      <c r="P5">
        <f t="shared" ref="P5:P44" si="2">O5*N5</f>
        <v>57.365844162351834</v>
      </c>
    </row>
    <row r="6" spans="2:18" x14ac:dyDescent="0.2">
      <c r="I6" t="s">
        <v>8</v>
      </c>
      <c r="J6">
        <v>26.16</v>
      </c>
      <c r="K6">
        <v>30.2</v>
      </c>
      <c r="L6">
        <f t="shared" si="0"/>
        <v>28.18</v>
      </c>
      <c r="M6">
        <f t="shared" si="1"/>
        <v>4.0399999999999991</v>
      </c>
      <c r="N6">
        <f>SIN(L6*$R$4)*M6</f>
        <v>1.9078621347121447</v>
      </c>
      <c r="O6">
        <f>E24</f>
        <v>20.953099999999999</v>
      </c>
      <c r="P6">
        <f t="shared" si="2"/>
        <v>39.97562609483704</v>
      </c>
    </row>
    <row r="7" spans="2:18" x14ac:dyDescent="0.2">
      <c r="B7" t="s">
        <v>6</v>
      </c>
      <c r="I7" t="s">
        <v>9</v>
      </c>
      <c r="J7">
        <v>31.12</v>
      </c>
      <c r="K7">
        <v>34.6</v>
      </c>
      <c r="L7">
        <f t="shared" si="0"/>
        <v>32.86</v>
      </c>
      <c r="M7">
        <f t="shared" si="1"/>
        <v>3.4800000000000004</v>
      </c>
      <c r="N7">
        <f>SIN(L7*$R$4)*M7</f>
        <v>1.8882067683873258</v>
      </c>
      <c r="O7">
        <f>E33</f>
        <v>14.064933333333334</v>
      </c>
      <c r="P7">
        <f t="shared" si="2"/>
        <v>26.557502316916512</v>
      </c>
    </row>
    <row r="8" spans="2:18" x14ac:dyDescent="0.2">
      <c r="B8" t="s">
        <v>0</v>
      </c>
      <c r="C8" t="s">
        <v>2</v>
      </c>
      <c r="D8" t="s">
        <v>1</v>
      </c>
      <c r="E8" t="s">
        <v>3</v>
      </c>
      <c r="F8" t="s">
        <v>16</v>
      </c>
      <c r="G8" t="s">
        <v>22</v>
      </c>
      <c r="I8" t="s">
        <v>10</v>
      </c>
      <c r="J8">
        <v>35.369999999999997</v>
      </c>
      <c r="K8">
        <v>38.49</v>
      </c>
      <c r="L8">
        <f t="shared" si="0"/>
        <v>36.93</v>
      </c>
      <c r="M8">
        <f t="shared" si="1"/>
        <v>3.1200000000000045</v>
      </c>
      <c r="N8">
        <f>SIN(L8*$R$4)*M8</f>
        <v>1.8746172317238767</v>
      </c>
      <c r="O8">
        <f>E44</f>
        <v>7.8385600000000002</v>
      </c>
      <c r="P8">
        <f t="shared" si="2"/>
        <v>14.694299647901511</v>
      </c>
    </row>
    <row r="9" spans="2:18" x14ac:dyDescent="0.2">
      <c r="B9">
        <v>0.15763199999999999</v>
      </c>
      <c r="C9">
        <f>B9-B$9</f>
        <v>0</v>
      </c>
      <c r="D9">
        <v>4.7452100000000002</v>
      </c>
      <c r="E9">
        <f>D9*4/4</f>
        <v>4.7452100000000002</v>
      </c>
    </row>
    <row r="10" spans="2:18" x14ac:dyDescent="0.2">
      <c r="B10" s="3">
        <v>2.0922200000000002</v>
      </c>
      <c r="C10">
        <f t="shared" ref="C10:C11" si="3">B10-B$9</f>
        <v>1.9345880000000002</v>
      </c>
      <c r="D10">
        <v>45.578699999999998</v>
      </c>
      <c r="E10">
        <f t="shared" ref="E10:E11" si="4">D10*4/4</f>
        <v>45.578699999999998</v>
      </c>
      <c r="F10">
        <f>N4</f>
        <v>2.5316522797045882</v>
      </c>
    </row>
    <row r="11" spans="2:18" x14ac:dyDescent="0.2">
      <c r="B11">
        <v>3.4675099999999999</v>
      </c>
      <c r="C11">
        <f t="shared" si="3"/>
        <v>3.3098779999999999</v>
      </c>
      <c r="D11">
        <v>4.7852399999999999</v>
      </c>
      <c r="E11">
        <f t="shared" si="4"/>
        <v>4.7852399999999999</v>
      </c>
      <c r="I11" s="4" t="s">
        <v>18</v>
      </c>
      <c r="J11" t="s">
        <v>14</v>
      </c>
      <c r="K11" t="s">
        <v>15</v>
      </c>
      <c r="L11" t="s">
        <v>13</v>
      </c>
      <c r="M11" t="s">
        <v>12</v>
      </c>
      <c r="N11" t="s">
        <v>16</v>
      </c>
      <c r="O11" t="s">
        <v>3</v>
      </c>
      <c r="P11" t="s">
        <v>23</v>
      </c>
    </row>
    <row r="12" spans="2:18" x14ac:dyDescent="0.2">
      <c r="I12" t="s">
        <v>5</v>
      </c>
      <c r="J12" t="s">
        <v>11</v>
      </c>
      <c r="K12" t="s">
        <v>11</v>
      </c>
      <c r="L12" t="s">
        <v>11</v>
      </c>
      <c r="M12" t="s">
        <v>11</v>
      </c>
      <c r="N12" t="s">
        <v>11</v>
      </c>
    </row>
    <row r="13" spans="2:18" x14ac:dyDescent="0.2">
      <c r="I13" t="s">
        <v>6</v>
      </c>
      <c r="J13" t="s">
        <v>11</v>
      </c>
      <c r="K13" t="s">
        <v>11</v>
      </c>
      <c r="L13" t="s">
        <v>11</v>
      </c>
      <c r="M13" t="s">
        <v>11</v>
      </c>
      <c r="N13" t="s">
        <v>11</v>
      </c>
    </row>
    <row r="14" spans="2:18" x14ac:dyDescent="0.2">
      <c r="B14" t="s">
        <v>7</v>
      </c>
      <c r="I14" t="s">
        <v>7</v>
      </c>
      <c r="J14">
        <v>11.14</v>
      </c>
      <c r="K14">
        <v>19.829999999999998</v>
      </c>
      <c r="L14">
        <f>(K14+J14)/2</f>
        <v>15.484999999999999</v>
      </c>
      <c r="M14">
        <f>K14-J14</f>
        <v>8.6899999999999977</v>
      </c>
      <c r="N14">
        <f>SIN(L14*$R$4)*M14</f>
        <v>2.3201091113478403</v>
      </c>
      <c r="O14">
        <f>E17</f>
        <v>26.5151</v>
      </c>
      <c r="P14">
        <f t="shared" si="2"/>
        <v>61.517925098299123</v>
      </c>
    </row>
    <row r="15" spans="2:18" x14ac:dyDescent="0.2">
      <c r="B15" t="s">
        <v>0</v>
      </c>
      <c r="C15" t="s">
        <v>2</v>
      </c>
      <c r="D15" t="s">
        <v>1</v>
      </c>
      <c r="E15" t="s">
        <v>3</v>
      </c>
      <c r="F15" t="s">
        <v>16</v>
      </c>
      <c r="G15" t="s">
        <v>22</v>
      </c>
      <c r="I15" t="s">
        <v>8</v>
      </c>
      <c r="J15">
        <v>21.25</v>
      </c>
      <c r="K15">
        <v>26.25</v>
      </c>
      <c r="L15">
        <f t="shared" ref="L15:L17" si="5">(K15+J15)/2</f>
        <v>23.75</v>
      </c>
      <c r="M15">
        <f t="shared" ref="M15:M17" si="6">K15-J15</f>
        <v>5</v>
      </c>
      <c r="N15">
        <f>SIN(L15*$R$4)*M15</f>
        <v>2.0137334471259845</v>
      </c>
      <c r="O15">
        <f>E25</f>
        <v>48.4343</v>
      </c>
      <c r="P15">
        <f t="shared" si="2"/>
        <v>97.533769898134068</v>
      </c>
    </row>
    <row r="16" spans="2:18" x14ac:dyDescent="0.2">
      <c r="B16" s="3">
        <v>2.1246700000000001</v>
      </c>
      <c r="C16">
        <f>B16-$B$9</f>
        <v>1.9670380000000001</v>
      </c>
      <c r="D16">
        <v>29.241199999999999</v>
      </c>
      <c r="E16">
        <f>D16*4/4</f>
        <v>29.241199999999999</v>
      </c>
      <c r="F16">
        <f>N5</f>
        <v>1.9618156629123236</v>
      </c>
      <c r="I16" t="s">
        <v>9</v>
      </c>
      <c r="J16">
        <v>27.35</v>
      </c>
      <c r="K16">
        <v>31.37</v>
      </c>
      <c r="L16">
        <f t="shared" si="5"/>
        <v>29.36</v>
      </c>
      <c r="M16">
        <f t="shared" si="6"/>
        <v>4.0199999999999996</v>
      </c>
      <c r="N16">
        <f>SIN(L16*$R$4)*M16</f>
        <v>1.9709875544078519</v>
      </c>
      <c r="O16">
        <f>E34</f>
        <v>35.641066666666667</v>
      </c>
      <c r="P16">
        <f t="shared" si="2"/>
        <v>70.248098825820549</v>
      </c>
    </row>
    <row r="17" spans="2:16" x14ac:dyDescent="0.2">
      <c r="B17" s="4">
        <v>3.6</v>
      </c>
      <c r="C17">
        <f t="shared" ref="C17:C19" si="7">B17-$B$9</f>
        <v>3.4423680000000001</v>
      </c>
      <c r="D17">
        <v>26.5151</v>
      </c>
      <c r="E17">
        <f t="shared" ref="E17:E28" si="8">D17*4/4</f>
        <v>26.5151</v>
      </c>
      <c r="F17">
        <f>N14</f>
        <v>2.3201091113478403</v>
      </c>
      <c r="I17" t="s">
        <v>10</v>
      </c>
      <c r="J17">
        <v>32.24</v>
      </c>
      <c r="K17">
        <v>35.74</v>
      </c>
      <c r="L17">
        <f t="shared" si="5"/>
        <v>33.99</v>
      </c>
      <c r="M17">
        <f t="shared" si="6"/>
        <v>3.5</v>
      </c>
      <c r="N17">
        <f>SIN(L17*$R$4)*M17</f>
        <v>1.9566687001393008</v>
      </c>
      <c r="O17">
        <f>E45</f>
        <v>17.128533333333333</v>
      </c>
      <c r="P17">
        <f t="shared" si="2"/>
        <v>33.514865052626021</v>
      </c>
    </row>
    <row r="18" spans="2:16" x14ac:dyDescent="0.2">
      <c r="B18" s="5">
        <v>3.7040799999999998</v>
      </c>
      <c r="C18">
        <f t="shared" si="7"/>
        <v>3.5464479999999998</v>
      </c>
      <c r="D18">
        <v>106.91800000000001</v>
      </c>
      <c r="E18">
        <f t="shared" si="8"/>
        <v>106.91800000000001</v>
      </c>
      <c r="F18">
        <f>N23</f>
        <v>2.4098149861682141</v>
      </c>
    </row>
    <row r="19" spans="2:16" x14ac:dyDescent="0.2">
      <c r="B19" s="2">
        <v>4.0585100000000001</v>
      </c>
      <c r="C19">
        <f t="shared" si="7"/>
        <v>3.9008780000000001</v>
      </c>
      <c r="D19">
        <v>55.425699999999999</v>
      </c>
      <c r="E19">
        <f t="shared" si="8"/>
        <v>55.425699999999999</v>
      </c>
      <c r="F19">
        <f>N32</f>
        <v>2.4557588906488061</v>
      </c>
    </row>
    <row r="20" spans="2:16" x14ac:dyDescent="0.2">
      <c r="I20" s="5" t="s">
        <v>19</v>
      </c>
      <c r="J20" t="s">
        <v>14</v>
      </c>
      <c r="K20" t="s">
        <v>15</v>
      </c>
      <c r="L20" t="s">
        <v>13</v>
      </c>
      <c r="M20" t="s">
        <v>12</v>
      </c>
      <c r="N20" t="s">
        <v>16</v>
      </c>
      <c r="O20" t="s">
        <v>3</v>
      </c>
      <c r="P20" t="s">
        <v>23</v>
      </c>
    </row>
    <row r="21" spans="2:16" x14ac:dyDescent="0.2">
      <c r="I21" t="s">
        <v>5</v>
      </c>
      <c r="J21" t="s">
        <v>11</v>
      </c>
      <c r="K21" t="s">
        <v>11</v>
      </c>
      <c r="L21" t="s">
        <v>11</v>
      </c>
      <c r="M21" t="s">
        <v>11</v>
      </c>
      <c r="N21" t="s">
        <v>11</v>
      </c>
    </row>
    <row r="22" spans="2:16" x14ac:dyDescent="0.2">
      <c r="B22" t="s">
        <v>8</v>
      </c>
      <c r="I22" t="s">
        <v>6</v>
      </c>
      <c r="J22" t="s">
        <v>11</v>
      </c>
      <c r="K22" t="s">
        <v>11</v>
      </c>
      <c r="L22" t="s">
        <v>11</v>
      </c>
      <c r="M22" t="s">
        <v>11</v>
      </c>
      <c r="N22" t="s">
        <v>11</v>
      </c>
    </row>
    <row r="23" spans="2:16" x14ac:dyDescent="0.2">
      <c r="B23" t="s">
        <v>0</v>
      </c>
      <c r="C23" t="s">
        <v>2</v>
      </c>
      <c r="D23" t="s">
        <v>1</v>
      </c>
      <c r="E23" t="s">
        <v>3</v>
      </c>
      <c r="F23" t="s">
        <v>16</v>
      </c>
      <c r="G23" t="s">
        <v>22</v>
      </c>
      <c r="I23" t="s">
        <v>7</v>
      </c>
      <c r="J23">
        <v>10.07</v>
      </c>
      <c r="K23">
        <v>19.510000000000002</v>
      </c>
      <c r="L23">
        <f t="shared" ref="L23:L26" si="9">(K23+J23)/2</f>
        <v>14.790000000000001</v>
      </c>
      <c r="M23">
        <f t="shared" ref="M23:M26" si="10">K23-J23</f>
        <v>9.4400000000000013</v>
      </c>
      <c r="N23">
        <f>SIN(L23*$R$4)*M23</f>
        <v>2.4098149861682141</v>
      </c>
      <c r="O23">
        <f>E18</f>
        <v>106.91800000000001</v>
      </c>
      <c r="P23">
        <f t="shared" si="2"/>
        <v>257.65259869113311</v>
      </c>
    </row>
    <row r="24" spans="2:16" x14ac:dyDescent="0.2">
      <c r="B24" s="3">
        <v>2.1393800000000001</v>
      </c>
      <c r="C24">
        <f>B24-$B$9</f>
        <v>1.9817480000000001</v>
      </c>
      <c r="D24">
        <v>20.953099999999999</v>
      </c>
      <c r="E24">
        <f t="shared" si="8"/>
        <v>20.953099999999999</v>
      </c>
      <c r="F24">
        <f>N6</f>
        <v>1.9078621347121447</v>
      </c>
      <c r="I24" t="s">
        <v>8</v>
      </c>
      <c r="J24">
        <v>20.96</v>
      </c>
      <c r="K24">
        <v>26.03</v>
      </c>
      <c r="L24">
        <f t="shared" si="9"/>
        <v>23.495000000000001</v>
      </c>
      <c r="M24">
        <f t="shared" si="10"/>
        <v>5.07</v>
      </c>
      <c r="N24">
        <f>SIN(L24*$R$4)*M24</f>
        <v>2.0212520246303023</v>
      </c>
      <c r="O24">
        <f>E26</f>
        <v>36.496899999999997</v>
      </c>
      <c r="P24">
        <f t="shared" si="2"/>
        <v>73.769433017729668</v>
      </c>
    </row>
    <row r="25" spans="2:16" x14ac:dyDescent="0.2">
      <c r="B25" s="4">
        <v>3.64608</v>
      </c>
      <c r="C25">
        <f t="shared" ref="C25:C28" si="11">B25-$B$9</f>
        <v>3.488448</v>
      </c>
      <c r="D25">
        <v>48.4343</v>
      </c>
      <c r="E25">
        <f t="shared" si="8"/>
        <v>48.4343</v>
      </c>
      <c r="F25">
        <f>N15</f>
        <v>2.0137334471259845</v>
      </c>
      <c r="I25" t="s">
        <v>9</v>
      </c>
      <c r="J25">
        <v>27.14</v>
      </c>
      <c r="K25">
        <v>31.2</v>
      </c>
      <c r="L25">
        <f t="shared" si="9"/>
        <v>29.17</v>
      </c>
      <c r="M25">
        <f t="shared" si="10"/>
        <v>4.0599999999999987</v>
      </c>
      <c r="N25">
        <f>SIN(L25*$R$4)*M25</f>
        <v>1.9788542752349711</v>
      </c>
      <c r="O25">
        <f>E35</f>
        <v>11.096613333333332</v>
      </c>
      <c r="P25">
        <f t="shared" si="2"/>
        <v>21.958580735296049</v>
      </c>
    </row>
    <row r="26" spans="2:16" x14ac:dyDescent="0.2">
      <c r="B26" s="5">
        <v>3.71699</v>
      </c>
      <c r="C26">
        <f t="shared" si="11"/>
        <v>3.559358</v>
      </c>
      <c r="D26">
        <v>36.496899999999997</v>
      </c>
      <c r="E26">
        <f t="shared" si="8"/>
        <v>36.496899999999997</v>
      </c>
      <c r="F26">
        <f>N24</f>
        <v>2.0212520246303023</v>
      </c>
      <c r="I26" t="s">
        <v>10</v>
      </c>
      <c r="J26">
        <v>32.07</v>
      </c>
      <c r="K26">
        <v>35.590000000000003</v>
      </c>
      <c r="L26">
        <f t="shared" si="9"/>
        <v>33.83</v>
      </c>
      <c r="M26">
        <f t="shared" si="10"/>
        <v>3.5200000000000031</v>
      </c>
      <c r="N26">
        <f>SIN(L26*$R$4)*M26</f>
        <v>1.9596918567241843</v>
      </c>
      <c r="O26">
        <f>E46</f>
        <v>11.150533333333334</v>
      </c>
      <c r="P26">
        <f t="shared" si="2"/>
        <v>21.85160937146491</v>
      </c>
    </row>
    <row r="27" spans="2:16" x14ac:dyDescent="0.2">
      <c r="B27" s="2">
        <v>4.0336400000000001</v>
      </c>
      <c r="C27">
        <f t="shared" si="11"/>
        <v>3.8760080000000001</v>
      </c>
      <c r="D27">
        <v>29.566400000000002</v>
      </c>
      <c r="E27">
        <f t="shared" si="8"/>
        <v>29.566400000000002</v>
      </c>
      <c r="F27">
        <f>N33</f>
        <v>2.0537111113807214</v>
      </c>
    </row>
    <row r="28" spans="2:16" x14ac:dyDescent="0.2">
      <c r="B28" s="1">
        <v>5.4666100000000002</v>
      </c>
      <c r="C28">
        <f t="shared" si="11"/>
        <v>5.3089779999999998</v>
      </c>
      <c r="D28">
        <v>36.672199999999997</v>
      </c>
      <c r="E28">
        <f t="shared" si="8"/>
        <v>36.672199999999997</v>
      </c>
      <c r="F28">
        <f>N42</f>
        <v>2.3476111957144932</v>
      </c>
    </row>
    <row r="29" spans="2:16" x14ac:dyDescent="0.2">
      <c r="I29" s="2" t="s">
        <v>20</v>
      </c>
      <c r="J29" t="s">
        <v>14</v>
      </c>
      <c r="K29" t="s">
        <v>15</v>
      </c>
      <c r="L29" t="s">
        <v>13</v>
      </c>
      <c r="M29" t="s">
        <v>12</v>
      </c>
      <c r="N29" t="s">
        <v>16</v>
      </c>
      <c r="O29" t="s">
        <v>3</v>
      </c>
      <c r="P29" t="s">
        <v>23</v>
      </c>
    </row>
    <row r="30" spans="2:16" x14ac:dyDescent="0.2">
      <c r="I30" t="s">
        <v>5</v>
      </c>
      <c r="J30" t="s">
        <v>11</v>
      </c>
      <c r="K30" t="s">
        <v>11</v>
      </c>
      <c r="L30" t="s">
        <v>11</v>
      </c>
      <c r="M30" t="s">
        <v>11</v>
      </c>
      <c r="N30" t="s">
        <v>11</v>
      </c>
    </row>
    <row r="31" spans="2:16" x14ac:dyDescent="0.2">
      <c r="B31" t="s">
        <v>9</v>
      </c>
      <c r="I31" t="s">
        <v>6</v>
      </c>
      <c r="J31" t="s">
        <v>11</v>
      </c>
      <c r="K31" t="s">
        <v>11</v>
      </c>
      <c r="L31" t="s">
        <v>11</v>
      </c>
      <c r="M31" t="s">
        <v>11</v>
      </c>
      <c r="N31" t="s">
        <v>11</v>
      </c>
    </row>
    <row r="32" spans="2:16" x14ac:dyDescent="0.2">
      <c r="B32" t="s">
        <v>0</v>
      </c>
      <c r="C32" t="s">
        <v>2</v>
      </c>
      <c r="D32" t="s">
        <v>1</v>
      </c>
      <c r="E32" t="s">
        <v>3</v>
      </c>
      <c r="F32" t="s">
        <v>16</v>
      </c>
      <c r="G32" t="s">
        <v>22</v>
      </c>
      <c r="I32" t="s">
        <v>7</v>
      </c>
      <c r="J32">
        <v>7</v>
      </c>
      <c r="K32">
        <v>18.239999999999998</v>
      </c>
      <c r="L32">
        <f t="shared" ref="L32:L35" si="12">(K32+J32)/2</f>
        <v>12.62</v>
      </c>
      <c r="M32">
        <f t="shared" ref="M32:M35" si="13">K32-J32</f>
        <v>11.239999999999998</v>
      </c>
      <c r="N32">
        <f>SIN(L32*$R$4)*M32</f>
        <v>2.4557588906488061</v>
      </c>
      <c r="O32">
        <f>E19</f>
        <v>55.425699999999999</v>
      </c>
      <c r="P32">
        <f t="shared" si="2"/>
        <v>136.11215554543352</v>
      </c>
    </row>
    <row r="33" spans="2:16" x14ac:dyDescent="0.2">
      <c r="B33" s="3">
        <v>2.18547</v>
      </c>
      <c r="C33">
        <f>B33-$B$9</f>
        <v>2.027838</v>
      </c>
      <c r="D33">
        <v>10.5487</v>
      </c>
      <c r="E33">
        <f>D33*4/3</f>
        <v>14.064933333333334</v>
      </c>
      <c r="F33">
        <f>N7</f>
        <v>1.8882067683873258</v>
      </c>
      <c r="I33" t="s">
        <v>8</v>
      </c>
      <c r="J33">
        <v>19.8</v>
      </c>
      <c r="K33">
        <v>25.17</v>
      </c>
      <c r="L33">
        <f t="shared" si="12"/>
        <v>22.484999999999999</v>
      </c>
      <c r="M33">
        <f t="shared" si="13"/>
        <v>5.370000000000001</v>
      </c>
      <c r="N33">
        <f>SIN(L33*$R$4)*M33</f>
        <v>2.0537111113807214</v>
      </c>
      <c r="O33">
        <f>E27</f>
        <v>29.566400000000002</v>
      </c>
      <c r="P33">
        <f t="shared" si="2"/>
        <v>60.720844203526966</v>
      </c>
    </row>
    <row r="34" spans="2:16" x14ac:dyDescent="0.2">
      <c r="B34" s="4">
        <v>3.6773899999999999</v>
      </c>
      <c r="C34">
        <f t="shared" ref="C34:C39" si="14">B34-$B$9</f>
        <v>3.5197579999999999</v>
      </c>
      <c r="D34">
        <v>26.730799999999999</v>
      </c>
      <c r="E34">
        <f t="shared" ref="E34:E48" si="15">D34*4/3</f>
        <v>35.641066666666667</v>
      </c>
      <c r="F34">
        <f>N16</f>
        <v>1.9709875544078519</v>
      </c>
      <c r="I34" t="s">
        <v>9</v>
      </c>
      <c r="J34">
        <v>26.32</v>
      </c>
      <c r="K34">
        <v>30.51</v>
      </c>
      <c r="L34">
        <f t="shared" si="12"/>
        <v>28.414999999999999</v>
      </c>
      <c r="M34">
        <f t="shared" si="13"/>
        <v>4.1900000000000013</v>
      </c>
      <c r="N34">
        <f>SIN(L34*$R$4)*M34</f>
        <v>1.9938302868190572</v>
      </c>
      <c r="O34">
        <f>E36</f>
        <v>24.190799999999999</v>
      </c>
      <c r="P34">
        <f t="shared" si="2"/>
        <v>48.23234970238245</v>
      </c>
    </row>
    <row r="35" spans="2:16" x14ac:dyDescent="0.2">
      <c r="B35" s="5">
        <v>3.7918699999999999</v>
      </c>
      <c r="C35">
        <f t="shared" si="14"/>
        <v>3.6342379999999999</v>
      </c>
      <c r="D35">
        <v>8.3224599999999995</v>
      </c>
      <c r="E35">
        <f t="shared" si="15"/>
        <v>11.096613333333332</v>
      </c>
      <c r="F35">
        <f>N25</f>
        <v>1.9788542752349711</v>
      </c>
      <c r="I35" t="s">
        <v>10</v>
      </c>
      <c r="J35">
        <v>31.41</v>
      </c>
      <c r="K35">
        <v>35.020000000000003</v>
      </c>
      <c r="L35">
        <f t="shared" si="12"/>
        <v>33.215000000000003</v>
      </c>
      <c r="M35">
        <f t="shared" si="13"/>
        <v>3.610000000000003</v>
      </c>
      <c r="N35">
        <f>SIN(L35*$R$4)*M35</f>
        <v>1.9774939894877259</v>
      </c>
      <c r="O35">
        <f>E47</f>
        <v>16.045733333333335</v>
      </c>
      <c r="P35">
        <f t="shared" si="2"/>
        <v>31.730341223589523</v>
      </c>
    </row>
    <row r="36" spans="2:16" x14ac:dyDescent="0.2">
      <c r="B36" s="2">
        <v>4.05436</v>
      </c>
      <c r="C36">
        <f t="shared" si="14"/>
        <v>3.896728</v>
      </c>
      <c r="D36">
        <v>18.1431</v>
      </c>
      <c r="E36">
        <f t="shared" si="15"/>
        <v>24.190799999999999</v>
      </c>
      <c r="F36">
        <f>N34</f>
        <v>1.9938302868190572</v>
      </c>
    </row>
    <row r="37" spans="2:16" x14ac:dyDescent="0.2">
      <c r="B37" s="1">
        <v>5.4397200000000003</v>
      </c>
      <c r="C37">
        <f t="shared" si="14"/>
        <v>5.2820879999999999</v>
      </c>
      <c r="D37">
        <v>23.360499999999998</v>
      </c>
      <c r="E37">
        <f t="shared" si="15"/>
        <v>31.147333333333332</v>
      </c>
      <c r="F37">
        <f>N43</f>
        <v>2.098570501257452</v>
      </c>
    </row>
    <row r="38" spans="2:16" x14ac:dyDescent="0.2">
      <c r="B38" s="6">
        <v>6.4059999999999997</v>
      </c>
      <c r="C38">
        <f t="shared" si="14"/>
        <v>6.2483679999999993</v>
      </c>
      <c r="D38">
        <v>2.6910599999999998</v>
      </c>
      <c r="E38">
        <f t="shared" si="15"/>
        <v>3.5880799999999997</v>
      </c>
      <c r="I38" s="1" t="s">
        <v>21</v>
      </c>
      <c r="J38" t="s">
        <v>14</v>
      </c>
      <c r="K38" t="s">
        <v>15</v>
      </c>
      <c r="L38" t="s">
        <v>13</v>
      </c>
      <c r="M38" t="s">
        <v>12</v>
      </c>
      <c r="N38" t="s">
        <v>16</v>
      </c>
      <c r="O38" t="s">
        <v>3</v>
      </c>
      <c r="P38" t="s">
        <v>23</v>
      </c>
    </row>
    <row r="39" spans="2:16" x14ac:dyDescent="0.2">
      <c r="B39" s="7">
        <v>7.1472600000000002</v>
      </c>
      <c r="C39">
        <f t="shared" si="14"/>
        <v>6.9896279999999997</v>
      </c>
      <c r="D39">
        <v>7.5593599999999999</v>
      </c>
      <c r="E39">
        <f t="shared" si="15"/>
        <v>10.079146666666666</v>
      </c>
      <c r="I39" t="s">
        <v>5</v>
      </c>
      <c r="J39" t="s">
        <v>11</v>
      </c>
      <c r="K39" t="s">
        <v>11</v>
      </c>
      <c r="L39" t="s">
        <v>11</v>
      </c>
      <c r="M39" t="s">
        <v>11</v>
      </c>
      <c r="N39" t="s">
        <v>11</v>
      </c>
    </row>
    <row r="40" spans="2:16" x14ac:dyDescent="0.2">
      <c r="I40" t="s">
        <v>6</v>
      </c>
      <c r="J40" t="s">
        <v>11</v>
      </c>
      <c r="K40" t="s">
        <v>11</v>
      </c>
      <c r="L40" t="s">
        <v>11</v>
      </c>
      <c r="M40" t="s">
        <v>11</v>
      </c>
      <c r="N40" t="s">
        <v>11</v>
      </c>
    </row>
    <row r="41" spans="2:16" x14ac:dyDescent="0.2">
      <c r="I41" t="s">
        <v>7</v>
      </c>
      <c r="J41" t="s">
        <v>11</v>
      </c>
      <c r="K41" t="s">
        <v>11</v>
      </c>
      <c r="L41" t="s">
        <v>11</v>
      </c>
      <c r="M41" t="s">
        <v>11</v>
      </c>
      <c r="N41" t="s">
        <v>11</v>
      </c>
    </row>
    <row r="42" spans="2:16" x14ac:dyDescent="0.2">
      <c r="B42" t="s">
        <v>10</v>
      </c>
      <c r="I42" t="s">
        <v>8</v>
      </c>
      <c r="J42">
        <v>11.93</v>
      </c>
      <c r="K42">
        <v>20.37</v>
      </c>
      <c r="L42">
        <f>(K42+J42)/2</f>
        <v>16.149999999999999</v>
      </c>
      <c r="M42">
        <f>K42-J42</f>
        <v>8.4400000000000013</v>
      </c>
      <c r="N42">
        <f>SIN(L42*R$4)*M42</f>
        <v>2.3476111957144932</v>
      </c>
      <c r="O42">
        <f>E28</f>
        <v>36.672199999999997</v>
      </c>
      <c r="P42">
        <f t="shared" si="2"/>
        <v>86.09206729148103</v>
      </c>
    </row>
    <row r="43" spans="2:16" x14ac:dyDescent="0.2">
      <c r="B43" t="s">
        <v>0</v>
      </c>
      <c r="C43" t="s">
        <v>2</v>
      </c>
      <c r="D43" t="s">
        <v>1</v>
      </c>
      <c r="E43" t="s">
        <v>3</v>
      </c>
      <c r="F43" t="s">
        <v>16</v>
      </c>
      <c r="G43" t="s">
        <v>22</v>
      </c>
      <c r="I43" t="s">
        <v>9</v>
      </c>
      <c r="J43">
        <v>21.86</v>
      </c>
      <c r="K43">
        <v>26.94</v>
      </c>
      <c r="L43">
        <f t="shared" ref="L43:L44" si="16">(K43+J43)/2</f>
        <v>24.4</v>
      </c>
      <c r="M43">
        <f t="shared" ref="M43:M44" si="17">K43-J43</f>
        <v>5.0800000000000018</v>
      </c>
      <c r="N43">
        <f>SIN(L43*R$4)*M43</f>
        <v>2.098570501257452</v>
      </c>
      <c r="O43">
        <f>E37</f>
        <v>31.147333333333332</v>
      </c>
      <c r="P43">
        <f t="shared" si="2"/>
        <v>65.36487492616628</v>
      </c>
    </row>
    <row r="44" spans="2:16" x14ac:dyDescent="0.2">
      <c r="B44" s="3">
        <v>2.2073299999999998</v>
      </c>
      <c r="C44">
        <f>B44-$B$9</f>
        <v>2.0496979999999998</v>
      </c>
      <c r="D44">
        <v>5.8789199999999999</v>
      </c>
      <c r="E44">
        <f t="shared" si="15"/>
        <v>7.8385600000000002</v>
      </c>
      <c r="F44">
        <f>N8</f>
        <v>1.8746172317238767</v>
      </c>
      <c r="I44" t="s">
        <v>10</v>
      </c>
      <c r="J44">
        <v>27.99</v>
      </c>
      <c r="K44">
        <v>32.090000000000003</v>
      </c>
      <c r="L44">
        <f t="shared" si="16"/>
        <v>30.04</v>
      </c>
      <c r="M44">
        <f t="shared" si="17"/>
        <v>4.100000000000005</v>
      </c>
      <c r="N44">
        <f>SIN(L44*R$4)*M44</f>
        <v>2.0524783572308563</v>
      </c>
      <c r="O44">
        <f>E48</f>
        <v>36.793199999999999</v>
      </c>
      <c r="P44">
        <f t="shared" si="2"/>
        <v>75.517246693266344</v>
      </c>
    </row>
    <row r="45" spans="2:16" x14ac:dyDescent="0.2">
      <c r="B45" s="4">
        <v>3.6837599999999999</v>
      </c>
      <c r="C45">
        <f t="shared" ref="C45:C48" si="18">B45-$B$9</f>
        <v>3.5261279999999999</v>
      </c>
      <c r="D45">
        <v>12.846399999999999</v>
      </c>
      <c r="E45">
        <f t="shared" si="15"/>
        <v>17.128533333333333</v>
      </c>
      <c r="F45">
        <f>N17</f>
        <v>1.9566687001393008</v>
      </c>
    </row>
    <row r="46" spans="2:16" x14ac:dyDescent="0.2">
      <c r="B46" s="5">
        <v>3.8127900000000001</v>
      </c>
      <c r="C46">
        <f t="shared" si="18"/>
        <v>3.6551580000000001</v>
      </c>
      <c r="D46">
        <v>8.3628999999999998</v>
      </c>
      <c r="E46">
        <f t="shared" si="15"/>
        <v>11.150533333333334</v>
      </c>
      <c r="F46">
        <f>N26</f>
        <v>1.9596918567241843</v>
      </c>
    </row>
    <row r="47" spans="2:16" x14ac:dyDescent="0.2">
      <c r="B47" s="2">
        <v>4.0982500000000002</v>
      </c>
      <c r="C47">
        <f t="shared" si="18"/>
        <v>3.9406180000000002</v>
      </c>
      <c r="D47">
        <v>12.0343</v>
      </c>
      <c r="E47">
        <f t="shared" si="15"/>
        <v>16.045733333333335</v>
      </c>
      <c r="F47">
        <f>N35</f>
        <v>1.9774939894877259</v>
      </c>
    </row>
    <row r="48" spans="2:16" x14ac:dyDescent="0.2">
      <c r="B48" s="1">
        <v>5.4535200000000001</v>
      </c>
      <c r="C48">
        <f t="shared" si="18"/>
        <v>5.2958879999999997</v>
      </c>
      <c r="D48">
        <v>27.594899999999999</v>
      </c>
      <c r="E48">
        <f t="shared" si="15"/>
        <v>36.793199999999999</v>
      </c>
      <c r="F48">
        <f>N44</f>
        <v>2.0524783572308563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A0B7A-CF02-3447-95C1-777BFCE48B4A}">
  <dimension ref="B2:R46"/>
  <sheetViews>
    <sheetView tabSelected="1" topLeftCell="E21" zoomScale="120" zoomScaleNormal="120" workbookViewId="0">
      <selection activeCell="O42" sqref="O42"/>
    </sheetView>
  </sheetViews>
  <sheetFormatPr baseColWidth="10" defaultRowHeight="16" x14ac:dyDescent="0.2"/>
  <sheetData>
    <row r="2" spans="2:18" x14ac:dyDescent="0.2">
      <c r="B2" t="s">
        <v>5</v>
      </c>
      <c r="I2" s="3" t="s">
        <v>4</v>
      </c>
      <c r="J2" t="s">
        <v>14</v>
      </c>
      <c r="K2" t="s">
        <v>15</v>
      </c>
      <c r="L2" t="s">
        <v>13</v>
      </c>
      <c r="M2" t="s">
        <v>12</v>
      </c>
      <c r="N2" t="s">
        <v>16</v>
      </c>
      <c r="O2" t="s">
        <v>3</v>
      </c>
      <c r="P2" t="s">
        <v>23</v>
      </c>
      <c r="R2" t="s">
        <v>17</v>
      </c>
    </row>
    <row r="3" spans="2:18" x14ac:dyDescent="0.2">
      <c r="B3" t="s">
        <v>0</v>
      </c>
      <c r="C3" t="s">
        <v>2</v>
      </c>
      <c r="D3" t="s">
        <v>1</v>
      </c>
      <c r="E3" t="s">
        <v>3</v>
      </c>
      <c r="F3" t="s">
        <v>16</v>
      </c>
      <c r="G3" t="s">
        <v>22</v>
      </c>
      <c r="I3" t="s">
        <v>5</v>
      </c>
      <c r="J3" t="s">
        <v>11</v>
      </c>
      <c r="K3" t="s">
        <v>11</v>
      </c>
      <c r="L3" t="s">
        <v>11</v>
      </c>
      <c r="M3" t="s">
        <v>11</v>
      </c>
      <c r="N3" t="s">
        <v>11</v>
      </c>
    </row>
    <row r="4" spans="2:18" x14ac:dyDescent="0.2">
      <c r="B4">
        <v>0.150836</v>
      </c>
      <c r="C4">
        <f>B4-B4</f>
        <v>0</v>
      </c>
      <c r="D4">
        <v>4.9355599999999997</v>
      </c>
      <c r="E4">
        <f>D4*4/4</f>
        <v>4.9355599999999997</v>
      </c>
      <c r="I4" t="s">
        <v>6</v>
      </c>
      <c r="J4">
        <v>7</v>
      </c>
      <c r="K4">
        <v>18.48</v>
      </c>
      <c r="L4">
        <f>(K4+J4)/2</f>
        <v>12.74</v>
      </c>
      <c r="M4">
        <f>K4-J4</f>
        <v>11.48</v>
      </c>
      <c r="N4">
        <f>SIN(L4*$R$4)*M4</f>
        <v>2.5316522797045882</v>
      </c>
      <c r="O4">
        <f>E10</f>
        <v>45.578699999999998</v>
      </c>
      <c r="P4">
        <f>O4*N4</f>
        <v>115.38941976097151</v>
      </c>
      <c r="R4">
        <v>1.7453292499999998E-2</v>
      </c>
    </row>
    <row r="5" spans="2:18" x14ac:dyDescent="0.2">
      <c r="I5" t="s">
        <v>7</v>
      </c>
      <c r="J5">
        <v>19.97</v>
      </c>
      <c r="K5">
        <v>25.09</v>
      </c>
      <c r="L5">
        <f t="shared" ref="L5:L8" si="0">(K5+J5)/2</f>
        <v>22.53</v>
      </c>
      <c r="M5">
        <f t="shared" ref="M5:M8" si="1">K5-J5</f>
        <v>5.120000000000001</v>
      </c>
      <c r="N5">
        <f>SIN(L5*$R$4)*M5</f>
        <v>1.9618156629123236</v>
      </c>
      <c r="O5">
        <f>E16</f>
        <v>29.225300000000001</v>
      </c>
      <c r="P5">
        <f t="shared" ref="P5:P8" si="2">O5*N5</f>
        <v>57.334651293311531</v>
      </c>
    </row>
    <row r="6" spans="2:18" x14ac:dyDescent="0.2">
      <c r="I6" t="s">
        <v>8</v>
      </c>
      <c r="J6">
        <v>26.16</v>
      </c>
      <c r="K6">
        <v>30.2</v>
      </c>
      <c r="L6">
        <f t="shared" si="0"/>
        <v>28.18</v>
      </c>
      <c r="M6">
        <f t="shared" si="1"/>
        <v>4.0399999999999991</v>
      </c>
      <c r="N6">
        <f>SIN(L6*$R$4)*M6</f>
        <v>1.9078621347121447</v>
      </c>
      <c r="O6">
        <f>E23</f>
        <v>20.959299999999999</v>
      </c>
      <c r="P6">
        <f t="shared" si="2"/>
        <v>39.987454840072253</v>
      </c>
    </row>
    <row r="7" spans="2:18" x14ac:dyDescent="0.2">
      <c r="B7" t="s">
        <v>6</v>
      </c>
      <c r="I7" t="s">
        <v>9</v>
      </c>
      <c r="J7">
        <v>31.12</v>
      </c>
      <c r="K7">
        <v>34.6</v>
      </c>
      <c r="L7">
        <f t="shared" si="0"/>
        <v>32.86</v>
      </c>
      <c r="M7">
        <f t="shared" si="1"/>
        <v>3.4800000000000004</v>
      </c>
      <c r="N7">
        <f>SIN(L7*$R$4)*M7</f>
        <v>1.8882067683873258</v>
      </c>
      <c r="O7">
        <f>E31</f>
        <v>14.080133333333334</v>
      </c>
      <c r="P7">
        <f t="shared" si="2"/>
        <v>26.586203059796002</v>
      </c>
    </row>
    <row r="8" spans="2:18" x14ac:dyDescent="0.2">
      <c r="B8" t="s">
        <v>0</v>
      </c>
      <c r="C8" t="s">
        <v>2</v>
      </c>
      <c r="D8" t="s">
        <v>1</v>
      </c>
      <c r="E8" t="s">
        <v>3</v>
      </c>
      <c r="F8" t="s">
        <v>16</v>
      </c>
      <c r="G8" t="s">
        <v>22</v>
      </c>
      <c r="I8" t="s">
        <v>10</v>
      </c>
      <c r="J8">
        <v>35.369999999999997</v>
      </c>
      <c r="K8">
        <v>38.49</v>
      </c>
      <c r="L8">
        <f t="shared" si="0"/>
        <v>36.93</v>
      </c>
      <c r="M8">
        <f t="shared" si="1"/>
        <v>3.1200000000000045</v>
      </c>
      <c r="N8">
        <f>SIN(L8*$R$4)*M8</f>
        <v>1.8746172317238767</v>
      </c>
      <c r="O8">
        <f>E41</f>
        <v>7.8573733333333342</v>
      </c>
      <c r="P8">
        <f t="shared" si="2"/>
        <v>14.729567446754345</v>
      </c>
    </row>
    <row r="9" spans="2:18" x14ac:dyDescent="0.2">
      <c r="B9">
        <v>0.15763199999999999</v>
      </c>
      <c r="C9">
        <f>B9-B$9</f>
        <v>0</v>
      </c>
      <c r="D9">
        <v>4.7452100000000002</v>
      </c>
      <c r="E9">
        <f>D9*4/4</f>
        <v>4.7452100000000002</v>
      </c>
    </row>
    <row r="10" spans="2:18" x14ac:dyDescent="0.2">
      <c r="B10" s="3">
        <v>2.0922200000000002</v>
      </c>
      <c r="C10">
        <f t="shared" ref="C10:C11" si="3">B10-B$9</f>
        <v>1.9345880000000002</v>
      </c>
      <c r="D10">
        <v>45.578699999999998</v>
      </c>
      <c r="E10">
        <f t="shared" ref="E10:E11" si="4">D10*4/4</f>
        <v>45.578699999999998</v>
      </c>
      <c r="F10">
        <f>N4</f>
        <v>2.5316522797045882</v>
      </c>
    </row>
    <row r="11" spans="2:18" x14ac:dyDescent="0.2">
      <c r="B11">
        <v>3.4675099999999999</v>
      </c>
      <c r="C11">
        <f t="shared" si="3"/>
        <v>3.3098779999999999</v>
      </c>
      <c r="D11">
        <v>4.7852399999999999</v>
      </c>
      <c r="E11">
        <f t="shared" si="4"/>
        <v>4.7852399999999999</v>
      </c>
      <c r="I11" s="3" t="s">
        <v>24</v>
      </c>
      <c r="J11" t="s">
        <v>14</v>
      </c>
      <c r="K11" t="s">
        <v>15</v>
      </c>
      <c r="L11" t="s">
        <v>13</v>
      </c>
      <c r="M11" t="s">
        <v>12</v>
      </c>
      <c r="N11" t="s">
        <v>16</v>
      </c>
      <c r="O11" t="s">
        <v>3</v>
      </c>
      <c r="P11" t="s">
        <v>23</v>
      </c>
    </row>
    <row r="12" spans="2:18" x14ac:dyDescent="0.2">
      <c r="I12" t="s">
        <v>5</v>
      </c>
      <c r="J12" t="s">
        <v>11</v>
      </c>
      <c r="K12" t="s">
        <v>11</v>
      </c>
      <c r="L12" t="s">
        <v>11</v>
      </c>
      <c r="M12" t="s">
        <v>11</v>
      </c>
      <c r="N12" t="s">
        <v>11</v>
      </c>
    </row>
    <row r="13" spans="2:18" x14ac:dyDescent="0.2">
      <c r="I13" t="s">
        <v>6</v>
      </c>
      <c r="J13" t="s">
        <v>11</v>
      </c>
      <c r="K13" t="s">
        <v>11</v>
      </c>
      <c r="L13" t="s">
        <v>11</v>
      </c>
      <c r="M13" t="s">
        <v>11</v>
      </c>
      <c r="N13" t="s">
        <v>11</v>
      </c>
    </row>
    <row r="14" spans="2:18" x14ac:dyDescent="0.2">
      <c r="B14" t="s">
        <v>7</v>
      </c>
      <c r="I14" t="s">
        <v>7</v>
      </c>
      <c r="J14">
        <v>11.38</v>
      </c>
      <c r="K14">
        <v>19.93</v>
      </c>
      <c r="L14">
        <v>15.65</v>
      </c>
      <c r="M14">
        <f>K14-J14</f>
        <v>8.5499999999999989</v>
      </c>
      <c r="N14">
        <f>SIN(L14*$R$4)*M14</f>
        <v>2.3064500153384562</v>
      </c>
      <c r="O14">
        <f>E17</f>
        <v>133.10599999999999</v>
      </c>
    </row>
    <row r="15" spans="2:18" x14ac:dyDescent="0.2">
      <c r="B15" t="s">
        <v>0</v>
      </c>
      <c r="C15" t="s">
        <v>2</v>
      </c>
      <c r="D15" t="s">
        <v>1</v>
      </c>
      <c r="E15" t="s">
        <v>3</v>
      </c>
      <c r="F15" t="s">
        <v>16</v>
      </c>
      <c r="G15" t="s">
        <v>22</v>
      </c>
      <c r="I15" t="s">
        <v>8</v>
      </c>
      <c r="J15">
        <v>21.33</v>
      </c>
      <c r="K15">
        <v>26.32</v>
      </c>
      <c r="L15">
        <v>23.82</v>
      </c>
      <c r="M15">
        <f t="shared" ref="M15:M17" si="5">K15-J15</f>
        <v>4.990000000000002</v>
      </c>
      <c r="N15">
        <f t="shared" ref="N15:N17" si="6">SIN(L15*$R$4)*M15</f>
        <v>2.0152846159773641</v>
      </c>
      <c r="O15">
        <f>E24</f>
        <v>83.522599999999997</v>
      </c>
    </row>
    <row r="16" spans="2:18" x14ac:dyDescent="0.2">
      <c r="B16" s="3">
        <v>2.1246900000000002</v>
      </c>
      <c r="C16">
        <f>B16-$B$9</f>
        <v>1.9670580000000002</v>
      </c>
      <c r="D16">
        <v>29.225300000000001</v>
      </c>
      <c r="E16">
        <f>D16*4/4</f>
        <v>29.225300000000001</v>
      </c>
      <c r="F16">
        <f>N5</f>
        <v>1.9618156629123236</v>
      </c>
      <c r="I16" t="s">
        <v>9</v>
      </c>
      <c r="J16">
        <v>27.41</v>
      </c>
      <c r="K16">
        <v>31.42</v>
      </c>
      <c r="L16">
        <v>29.42</v>
      </c>
      <c r="M16">
        <f t="shared" si="5"/>
        <v>4.0100000000000016</v>
      </c>
      <c r="N16">
        <v>1.972</v>
      </c>
      <c r="O16">
        <f>E32</f>
        <v>46.512</v>
      </c>
    </row>
    <row r="17" spans="2:16" x14ac:dyDescent="0.2">
      <c r="B17" s="4">
        <v>3.6874799999999999</v>
      </c>
      <c r="C17">
        <f t="shared" ref="C17" si="7">B17-$B$9</f>
        <v>3.5298479999999999</v>
      </c>
      <c r="D17">
        <v>133.10599999999999</v>
      </c>
      <c r="E17">
        <f t="shared" ref="E17:E26" si="8">D17*4/4</f>
        <v>133.10599999999999</v>
      </c>
      <c r="F17">
        <f>N14</f>
        <v>2.3064500153384562</v>
      </c>
      <c r="I17" t="s">
        <v>10</v>
      </c>
      <c r="J17">
        <v>32.29</v>
      </c>
      <c r="K17">
        <v>35.79</v>
      </c>
      <c r="L17">
        <v>34.04</v>
      </c>
      <c r="M17">
        <f t="shared" si="5"/>
        <v>3.5</v>
      </c>
      <c r="N17">
        <v>1.9552</v>
      </c>
      <c r="O17">
        <f>E42</f>
        <v>26.452933333333334</v>
      </c>
    </row>
    <row r="18" spans="2:16" x14ac:dyDescent="0.2">
      <c r="B18" s="2">
        <v>4.0610999999999997</v>
      </c>
      <c r="C18">
        <f>B18-$B$9</f>
        <v>3.9034679999999997</v>
      </c>
      <c r="D18">
        <v>54.590899999999998</v>
      </c>
      <c r="E18">
        <f>D18*4/4</f>
        <v>54.590899999999998</v>
      </c>
      <c r="F18" t="str">
        <f>N30</f>
        <v>-</v>
      </c>
    </row>
    <row r="21" spans="2:16" x14ac:dyDescent="0.2">
      <c r="B21" t="s">
        <v>8</v>
      </c>
    </row>
    <row r="22" spans="2:16" x14ac:dyDescent="0.2">
      <c r="B22" t="s">
        <v>0</v>
      </c>
      <c r="C22" t="s">
        <v>2</v>
      </c>
      <c r="D22" t="s">
        <v>1</v>
      </c>
      <c r="E22" t="s">
        <v>3</v>
      </c>
      <c r="F22" t="s">
        <v>16</v>
      </c>
      <c r="G22" t="s">
        <v>22</v>
      </c>
    </row>
    <row r="23" spans="2:16" x14ac:dyDescent="0.2">
      <c r="B23" s="3">
        <v>2.1393800000000001</v>
      </c>
      <c r="C23">
        <f>B23-$B$9</f>
        <v>1.9817480000000001</v>
      </c>
      <c r="D23">
        <v>20.959299999999999</v>
      </c>
      <c r="E23">
        <f t="shared" si="8"/>
        <v>20.959299999999999</v>
      </c>
      <c r="F23">
        <f>N6</f>
        <v>1.9078621347121447</v>
      </c>
    </row>
    <row r="24" spans="2:16" x14ac:dyDescent="0.2">
      <c r="B24" s="4">
        <v>3.67523</v>
      </c>
      <c r="C24">
        <f t="shared" ref="C24:C26" si="9">B24-$B$9</f>
        <v>3.517598</v>
      </c>
      <c r="D24">
        <v>83.522599999999997</v>
      </c>
      <c r="E24">
        <f t="shared" si="8"/>
        <v>83.522599999999997</v>
      </c>
      <c r="F24">
        <f>N15</f>
        <v>2.0152846159773641</v>
      </c>
    </row>
    <row r="25" spans="2:16" x14ac:dyDescent="0.2">
      <c r="B25" s="2">
        <v>4.03104</v>
      </c>
      <c r="C25">
        <f t="shared" si="9"/>
        <v>3.873408</v>
      </c>
      <c r="D25">
        <v>30.095199999999998</v>
      </c>
      <c r="E25">
        <f t="shared" si="8"/>
        <v>30.095199999999998</v>
      </c>
      <c r="F25" t="str">
        <f>N31</f>
        <v>-</v>
      </c>
    </row>
    <row r="26" spans="2:16" x14ac:dyDescent="0.2">
      <c r="B26" s="1">
        <v>5.4665999999999997</v>
      </c>
      <c r="C26">
        <f t="shared" si="9"/>
        <v>5.3089680000000001</v>
      </c>
      <c r="D26">
        <v>36.672199999999997</v>
      </c>
      <c r="E26">
        <f t="shared" si="8"/>
        <v>36.672199999999997</v>
      </c>
      <c r="F26" t="str">
        <f>N39</f>
        <v>-</v>
      </c>
    </row>
    <row r="29" spans="2:16" x14ac:dyDescent="0.2">
      <c r="B29" t="s">
        <v>9</v>
      </c>
      <c r="I29" s="2" t="s">
        <v>20</v>
      </c>
      <c r="J29" t="s">
        <v>14</v>
      </c>
      <c r="K29" t="s">
        <v>15</v>
      </c>
      <c r="L29" t="s">
        <v>13</v>
      </c>
      <c r="M29" t="s">
        <v>12</v>
      </c>
      <c r="N29" t="s">
        <v>16</v>
      </c>
      <c r="O29" t="s">
        <v>3</v>
      </c>
      <c r="P29" t="s">
        <v>23</v>
      </c>
    </row>
    <row r="30" spans="2:16" x14ac:dyDescent="0.2">
      <c r="B30" t="s">
        <v>0</v>
      </c>
      <c r="C30" t="s">
        <v>2</v>
      </c>
      <c r="D30" t="s">
        <v>1</v>
      </c>
      <c r="E30" t="s">
        <v>3</v>
      </c>
      <c r="F30" t="s">
        <v>16</v>
      </c>
      <c r="G30" t="s">
        <v>22</v>
      </c>
      <c r="I30" t="s">
        <v>5</v>
      </c>
      <c r="J30" t="s">
        <v>11</v>
      </c>
      <c r="K30" t="s">
        <v>11</v>
      </c>
      <c r="L30" t="s">
        <v>11</v>
      </c>
      <c r="M30" t="s">
        <v>11</v>
      </c>
      <c r="N30" t="s">
        <v>11</v>
      </c>
    </row>
    <row r="31" spans="2:16" x14ac:dyDescent="0.2">
      <c r="B31" s="3">
        <v>2.1854800000000001</v>
      </c>
      <c r="C31">
        <f>B31-$B$9</f>
        <v>2.0278480000000001</v>
      </c>
      <c r="D31">
        <v>10.5601</v>
      </c>
      <c r="E31">
        <f>D31*4/3</f>
        <v>14.080133333333334</v>
      </c>
      <c r="F31">
        <f>N7</f>
        <v>1.8882067683873258</v>
      </c>
      <c r="I31" t="s">
        <v>6</v>
      </c>
      <c r="J31" t="s">
        <v>11</v>
      </c>
      <c r="K31" t="s">
        <v>11</v>
      </c>
      <c r="L31" t="s">
        <v>11</v>
      </c>
      <c r="M31" t="s">
        <v>11</v>
      </c>
      <c r="N31" t="s">
        <v>11</v>
      </c>
    </row>
    <row r="32" spans="2:16" x14ac:dyDescent="0.2">
      <c r="B32" s="4">
        <v>3.7056200000000001</v>
      </c>
      <c r="C32">
        <f t="shared" ref="C32:C36" si="10">B32-$B$9</f>
        <v>3.5479880000000001</v>
      </c>
      <c r="D32">
        <v>34.884</v>
      </c>
      <c r="E32">
        <f t="shared" ref="E32:E46" si="11">D32*4/3</f>
        <v>46.512</v>
      </c>
      <c r="F32">
        <f>N16</f>
        <v>1.972</v>
      </c>
      <c r="I32" t="s">
        <v>7</v>
      </c>
      <c r="J32">
        <v>7</v>
      </c>
      <c r="K32">
        <v>18.239999999999998</v>
      </c>
      <c r="L32">
        <f t="shared" ref="L32:L35" si="12">(K32+J32)/2</f>
        <v>12.62</v>
      </c>
      <c r="M32">
        <f t="shared" ref="M32:M35" si="13">K32-J32</f>
        <v>11.239999999999998</v>
      </c>
      <c r="N32">
        <f>SIN(L32*$R$4)*M32</f>
        <v>2.4557588906488061</v>
      </c>
      <c r="O32">
        <f>E18</f>
        <v>54.590899999999998</v>
      </c>
      <c r="P32">
        <f t="shared" ref="P32:P35" si="14">O32*N32</f>
        <v>134.06208802351992</v>
      </c>
    </row>
    <row r="33" spans="2:16" x14ac:dyDescent="0.2">
      <c r="B33" s="2">
        <v>4.0561499999999997</v>
      </c>
      <c r="C33">
        <f t="shared" si="10"/>
        <v>3.8985179999999997</v>
      </c>
      <c r="D33">
        <v>17.899000000000001</v>
      </c>
      <c r="E33">
        <f t="shared" si="11"/>
        <v>23.865333333333336</v>
      </c>
      <c r="F33">
        <f>N32</f>
        <v>2.4557588906488061</v>
      </c>
      <c r="I33" t="s">
        <v>8</v>
      </c>
      <c r="J33">
        <v>19.8</v>
      </c>
      <c r="K33">
        <v>25.17</v>
      </c>
      <c r="L33">
        <f t="shared" si="12"/>
        <v>22.484999999999999</v>
      </c>
      <c r="M33">
        <f t="shared" si="13"/>
        <v>5.370000000000001</v>
      </c>
      <c r="N33">
        <f>SIN(L33*$R$4)*M33</f>
        <v>2.0537111113807214</v>
      </c>
      <c r="O33">
        <f>E25</f>
        <v>30.095199999999998</v>
      </c>
      <c r="P33">
        <f t="shared" si="14"/>
        <v>61.806846639225085</v>
      </c>
    </row>
    <row r="34" spans="2:16" x14ac:dyDescent="0.2">
      <c r="B34" s="1">
        <v>5.4397200000000003</v>
      </c>
      <c r="C34">
        <f t="shared" si="10"/>
        <v>5.2820879999999999</v>
      </c>
      <c r="D34">
        <v>23.372199999999999</v>
      </c>
      <c r="E34">
        <f t="shared" si="11"/>
        <v>31.162933333333331</v>
      </c>
      <c r="F34" t="str">
        <f>N40</f>
        <v>-</v>
      </c>
      <c r="I34" t="s">
        <v>9</v>
      </c>
      <c r="J34">
        <v>26.32</v>
      </c>
      <c r="K34">
        <v>30.51</v>
      </c>
      <c r="L34">
        <f t="shared" si="12"/>
        <v>28.414999999999999</v>
      </c>
      <c r="M34">
        <f t="shared" si="13"/>
        <v>4.1900000000000013</v>
      </c>
      <c r="N34">
        <f>SIN(L34*$R$4)*M34</f>
        <v>1.9938302868190572</v>
      </c>
      <c r="O34">
        <f>E33</f>
        <v>23.865333333333336</v>
      </c>
      <c r="P34">
        <f t="shared" si="14"/>
        <v>47.58342440503241</v>
      </c>
    </row>
    <row r="35" spans="2:16" x14ac:dyDescent="0.2">
      <c r="B35" s="6">
        <v>6.4059999999999997</v>
      </c>
      <c r="C35">
        <f t="shared" si="10"/>
        <v>6.2483679999999993</v>
      </c>
      <c r="D35">
        <v>2.69658</v>
      </c>
      <c r="E35">
        <f t="shared" si="11"/>
        <v>3.59544</v>
      </c>
      <c r="I35" t="s">
        <v>10</v>
      </c>
      <c r="J35">
        <v>31.41</v>
      </c>
      <c r="K35">
        <v>35.020000000000003</v>
      </c>
      <c r="L35">
        <f t="shared" si="12"/>
        <v>33.215000000000003</v>
      </c>
      <c r="M35">
        <f t="shared" si="13"/>
        <v>3.610000000000003</v>
      </c>
      <c r="N35">
        <f>SIN(L35*$R$4)*M35</f>
        <v>1.9774939894877259</v>
      </c>
      <c r="O35">
        <f>E43</f>
        <v>17.3916</v>
      </c>
      <c r="P35">
        <f t="shared" si="14"/>
        <v>34.391784467574738</v>
      </c>
    </row>
    <row r="36" spans="2:16" x14ac:dyDescent="0.2">
      <c r="B36" s="7">
        <v>7.1472600000000002</v>
      </c>
      <c r="C36">
        <f t="shared" si="10"/>
        <v>6.9896279999999997</v>
      </c>
      <c r="D36">
        <v>7.5666200000000003</v>
      </c>
      <c r="E36">
        <f t="shared" si="11"/>
        <v>10.088826666666668</v>
      </c>
    </row>
    <row r="38" spans="2:16" x14ac:dyDescent="0.2">
      <c r="I38" s="1" t="s">
        <v>21</v>
      </c>
      <c r="J38" t="s">
        <v>14</v>
      </c>
      <c r="K38" t="s">
        <v>15</v>
      </c>
      <c r="L38" t="s">
        <v>13</v>
      </c>
      <c r="M38" t="s">
        <v>12</v>
      </c>
      <c r="N38" t="s">
        <v>16</v>
      </c>
      <c r="O38" t="s">
        <v>3</v>
      </c>
      <c r="P38" t="s">
        <v>23</v>
      </c>
    </row>
    <row r="39" spans="2:16" x14ac:dyDescent="0.2">
      <c r="B39" t="s">
        <v>10</v>
      </c>
      <c r="I39" t="s">
        <v>5</v>
      </c>
      <c r="J39" t="s">
        <v>11</v>
      </c>
      <c r="K39" t="s">
        <v>11</v>
      </c>
      <c r="L39" t="s">
        <v>11</v>
      </c>
      <c r="M39" t="s">
        <v>11</v>
      </c>
      <c r="N39" t="s">
        <v>11</v>
      </c>
    </row>
    <row r="40" spans="2:16" x14ac:dyDescent="0.2">
      <c r="B40" t="s">
        <v>0</v>
      </c>
      <c r="C40" t="s">
        <v>2</v>
      </c>
      <c r="D40" t="s">
        <v>1</v>
      </c>
      <c r="E40" t="s">
        <v>3</v>
      </c>
      <c r="F40" t="s">
        <v>16</v>
      </c>
      <c r="G40" t="s">
        <v>22</v>
      </c>
      <c r="I40" t="s">
        <v>6</v>
      </c>
      <c r="J40" t="s">
        <v>11</v>
      </c>
      <c r="K40" t="s">
        <v>11</v>
      </c>
      <c r="L40" t="s">
        <v>11</v>
      </c>
      <c r="M40" t="s">
        <v>11</v>
      </c>
      <c r="N40" t="s">
        <v>11</v>
      </c>
    </row>
    <row r="41" spans="2:16" x14ac:dyDescent="0.2">
      <c r="B41" s="3">
        <v>2.2074199999999999</v>
      </c>
      <c r="C41">
        <f>B41-$B$9</f>
        <v>2.0497879999999999</v>
      </c>
      <c r="D41">
        <v>5.8930300000000004</v>
      </c>
      <c r="E41">
        <f t="shared" si="11"/>
        <v>7.8573733333333342</v>
      </c>
      <c r="F41">
        <f>N8</f>
        <v>1.8746172317238767</v>
      </c>
      <c r="I41" t="s">
        <v>7</v>
      </c>
      <c r="J41" t="s">
        <v>11</v>
      </c>
      <c r="K41" t="s">
        <v>11</v>
      </c>
      <c r="L41" t="s">
        <v>11</v>
      </c>
      <c r="M41" t="s">
        <v>11</v>
      </c>
      <c r="N41" t="s">
        <v>11</v>
      </c>
    </row>
    <row r="42" spans="2:16" x14ac:dyDescent="0.2">
      <c r="B42" s="4">
        <v>3.7222499999999998</v>
      </c>
      <c r="C42">
        <f t="shared" ref="C42:C46" si="15">B42-$B$9</f>
        <v>3.5646179999999998</v>
      </c>
      <c r="D42">
        <v>19.839700000000001</v>
      </c>
      <c r="E42">
        <f t="shared" si="11"/>
        <v>26.452933333333334</v>
      </c>
      <c r="F42">
        <f>N17</f>
        <v>1.9552</v>
      </c>
      <c r="I42" t="s">
        <v>8</v>
      </c>
      <c r="J42">
        <v>11.93</v>
      </c>
      <c r="K42">
        <v>20.37</v>
      </c>
      <c r="L42">
        <f>(K42+J42)/2</f>
        <v>16.149999999999999</v>
      </c>
      <c r="M42">
        <f>K42-J42</f>
        <v>8.4400000000000013</v>
      </c>
      <c r="N42">
        <f>SIN(L42*R$4)*M42</f>
        <v>2.3476111957144932</v>
      </c>
      <c r="O42">
        <f>E26</f>
        <v>36.672199999999997</v>
      </c>
      <c r="P42">
        <f t="shared" ref="P42:P44" si="16">O42*N42</f>
        <v>86.09206729148103</v>
      </c>
    </row>
    <row r="43" spans="2:16" x14ac:dyDescent="0.2">
      <c r="B43" s="2">
        <v>4.0853200000000003</v>
      </c>
      <c r="C43">
        <f t="shared" si="15"/>
        <v>3.9276880000000003</v>
      </c>
      <c r="D43">
        <v>13.043699999999999</v>
      </c>
      <c r="E43">
        <f t="shared" si="11"/>
        <v>17.3916</v>
      </c>
      <c r="F43" t="e">
        <f>#REF!</f>
        <v>#REF!</v>
      </c>
      <c r="I43" t="s">
        <v>9</v>
      </c>
      <c r="J43">
        <v>21.86</v>
      </c>
      <c r="K43">
        <v>26.94</v>
      </c>
      <c r="L43">
        <f t="shared" ref="L43:L44" si="17">(K43+J43)/2</f>
        <v>24.4</v>
      </c>
      <c r="M43">
        <f t="shared" ref="M43:M44" si="18">K43-J43</f>
        <v>5.0800000000000018</v>
      </c>
      <c r="N43">
        <f>SIN(L43*R$4)*M43</f>
        <v>2.098570501257452</v>
      </c>
      <c r="O43">
        <f>E34</f>
        <v>31.162933333333331</v>
      </c>
      <c r="P43">
        <f t="shared" si="16"/>
        <v>65.397612625985886</v>
      </c>
    </row>
    <row r="44" spans="2:16" x14ac:dyDescent="0.2">
      <c r="B44" s="1">
        <v>5.4534799999999999</v>
      </c>
      <c r="C44">
        <f t="shared" si="15"/>
        <v>5.2958479999999994</v>
      </c>
      <c r="D44">
        <v>27.661000000000001</v>
      </c>
      <c r="E44">
        <f t="shared" si="11"/>
        <v>36.881333333333338</v>
      </c>
      <c r="F44" t="str">
        <f>N41</f>
        <v>-</v>
      </c>
      <c r="I44" t="s">
        <v>10</v>
      </c>
      <c r="J44">
        <v>27.99</v>
      </c>
      <c r="K44">
        <v>32.090000000000003</v>
      </c>
      <c r="L44">
        <f t="shared" si="17"/>
        <v>30.04</v>
      </c>
      <c r="M44">
        <f t="shared" si="18"/>
        <v>4.100000000000005</v>
      </c>
      <c r="N44">
        <f>SIN(L44*R$4)*M44</f>
        <v>2.0524783572308563</v>
      </c>
      <c r="O44">
        <f>E44</f>
        <v>36.881333333333338</v>
      </c>
      <c r="P44">
        <f t="shared" si="16"/>
        <v>75.698138452483633</v>
      </c>
    </row>
    <row r="45" spans="2:16" x14ac:dyDescent="0.2">
      <c r="B45" s="6">
        <v>6.48271</v>
      </c>
      <c r="C45">
        <f t="shared" si="15"/>
        <v>6.3250779999999995</v>
      </c>
      <c r="D45">
        <v>0.40249699999999999</v>
      </c>
      <c r="E45">
        <f t="shared" si="11"/>
        <v>0.53666266666666662</v>
      </c>
    </row>
    <row r="46" spans="2:16" x14ac:dyDescent="0.2">
      <c r="B46" s="7">
        <v>7.1</v>
      </c>
      <c r="C46">
        <f t="shared" si="15"/>
        <v>6.9423680000000001</v>
      </c>
      <c r="D46">
        <v>2.4890400000000001</v>
      </c>
      <c r="E46">
        <f t="shared" si="11"/>
        <v>3.3187200000000003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Separate peaks</vt:lpstr>
      <vt:lpstr>Merged peaks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Kawecka</dc:creator>
  <cp:lastModifiedBy>Anna Kawecka</cp:lastModifiedBy>
  <dcterms:created xsi:type="dcterms:W3CDTF">2025-01-08T08:45:09Z</dcterms:created>
  <dcterms:modified xsi:type="dcterms:W3CDTF">2025-01-27T10:38:54Z</dcterms:modified>
</cp:coreProperties>
</file>