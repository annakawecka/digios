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wecka/digios/analysis/final_working/"/>
    </mc:Choice>
  </mc:AlternateContent>
  <xr:revisionPtr revIDLastSave="0" documentId="13_ncr:1_{1F5842D7-886E-DA48-8541-DD4646745B29}" xr6:coauthVersionLast="47" xr6:coauthVersionMax="47" xr10:uidLastSave="{00000000-0000-0000-0000-000000000000}"/>
  <bookViews>
    <workbookView xWindow="980" yWindow="1000" windowWidth="29400" windowHeight="17160" activeTab="5" xr2:uid="{FC3CEAA1-A762-5643-8C2C-8E9D51254AD0}"/>
  </bookViews>
  <sheets>
    <sheet name="18O Option 1" sheetId="6" r:id="rId1"/>
    <sheet name="18O Option 2 lit" sheetId="8" r:id="rId2"/>
    <sheet name="18O Option 2 SM" sheetId="9" r:id="rId3"/>
    <sheet name="18F norm Option 1" sheetId="7" r:id="rId4"/>
    <sheet name="18F norm Option 2 lit" sheetId="10" r:id="rId5"/>
    <sheet name="18O &amp; 18F" sheetId="12" r:id="rId6"/>
    <sheet name="18F norm Option 2 SM" sheetId="11" r:id="rId7"/>
    <sheet name="6.136 MeV in 18F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2" l="1"/>
  <c r="K25" i="10"/>
  <c r="J25" i="10"/>
  <c r="A4" i="10"/>
  <c r="A5" i="10"/>
  <c r="A6" i="10"/>
  <c r="A7" i="10"/>
  <c r="A8" i="10"/>
  <c r="A9" i="10"/>
  <c r="A12" i="10"/>
  <c r="A13" i="10"/>
  <c r="A14" i="10"/>
  <c r="A15" i="10"/>
  <c r="A16" i="10"/>
  <c r="A17" i="10"/>
  <c r="A18" i="10"/>
  <c r="A3" i="10"/>
  <c r="Q3" i="7"/>
  <c r="U15" i="12"/>
  <c r="U17" i="12"/>
  <c r="U36" i="12"/>
  <c r="X44" i="12"/>
  <c r="H44" i="12"/>
  <c r="W44" i="12"/>
  <c r="J20" i="7"/>
  <c r="H20" i="7"/>
  <c r="H25" i="10"/>
  <c r="Q7" i="7"/>
  <c r="Q4" i="7"/>
  <c r="Q5" i="7"/>
  <c r="Q6" i="7"/>
  <c r="Q8" i="7"/>
  <c r="Q9" i="7"/>
  <c r="Q10" i="7"/>
  <c r="Q11" i="7"/>
  <c r="Q12" i="7"/>
  <c r="Q13" i="7"/>
  <c r="Q14" i="7"/>
  <c r="Q15" i="7"/>
  <c r="Q16" i="7"/>
  <c r="Q17" i="7"/>
  <c r="Q18" i="7"/>
  <c r="Q19" i="7"/>
  <c r="G65" i="14"/>
  <c r="H65" i="14"/>
  <c r="I65" i="14"/>
  <c r="J65" i="14"/>
  <c r="K65" i="14"/>
  <c r="L65" i="14"/>
  <c r="M65" i="14"/>
  <c r="F65" i="14"/>
  <c r="K9" i="10"/>
  <c r="D7" i="7"/>
  <c r="O7" i="7"/>
  <c r="J7" i="7"/>
  <c r="C3" i="7"/>
  <c r="C8" i="7"/>
  <c r="C9" i="7"/>
  <c r="C5" i="7"/>
  <c r="C6" i="7"/>
  <c r="C7" i="7"/>
  <c r="C10" i="7"/>
  <c r="C11" i="7"/>
  <c r="C12" i="7"/>
  <c r="C13" i="7"/>
  <c r="C14" i="7"/>
  <c r="C15" i="7"/>
  <c r="C4" i="7"/>
  <c r="B5" i="7"/>
  <c r="B6" i="7"/>
  <c r="B7" i="7"/>
  <c r="B10" i="7"/>
  <c r="B11" i="7"/>
  <c r="B12" i="7"/>
  <c r="B13" i="7"/>
  <c r="B14" i="7"/>
  <c r="B15" i="7"/>
  <c r="B4" i="7"/>
  <c r="A5" i="7"/>
  <c r="C5" i="10"/>
  <c r="C6" i="10"/>
  <c r="C7" i="10"/>
  <c r="C8" i="10"/>
  <c r="C9" i="10"/>
  <c r="C12" i="10"/>
  <c r="C13" i="10"/>
  <c r="C14" i="10"/>
  <c r="C15" i="10"/>
  <c r="C16" i="10"/>
  <c r="C17" i="10"/>
  <c r="C18" i="10"/>
  <c r="C4" i="10"/>
  <c r="B4" i="8"/>
  <c r="B5" i="8"/>
  <c r="B6" i="8"/>
  <c r="B7" i="8"/>
  <c r="B8" i="8"/>
  <c r="B9" i="8"/>
  <c r="B10" i="8"/>
  <c r="B11" i="8"/>
  <c r="B12" i="8"/>
  <c r="B13" i="8"/>
  <c r="B14" i="8"/>
  <c r="B3" i="8"/>
  <c r="B4" i="6"/>
  <c r="B5" i="6"/>
  <c r="B6" i="6"/>
  <c r="B7" i="6"/>
  <c r="B8" i="6"/>
  <c r="B9" i="6"/>
  <c r="B10" i="6"/>
  <c r="B11" i="6"/>
  <c r="B12" i="6"/>
  <c r="B3" i="6"/>
  <c r="C4" i="6"/>
  <c r="C5" i="6"/>
  <c r="C6" i="6"/>
  <c r="C7" i="6"/>
  <c r="C8" i="6"/>
  <c r="C9" i="6"/>
  <c r="C10" i="6"/>
  <c r="C11" i="6"/>
  <c r="C12" i="6"/>
  <c r="C3" i="6"/>
  <c r="A9" i="6"/>
  <c r="A6" i="6"/>
  <c r="J3" i="10"/>
  <c r="L3" i="10"/>
  <c r="M3" i="10"/>
  <c r="J23" i="10"/>
  <c r="L23" i="10"/>
  <c r="M23" i="10"/>
  <c r="H23" i="10"/>
  <c r="J18" i="10"/>
  <c r="L18" i="10"/>
  <c r="M18" i="10"/>
  <c r="J17" i="10"/>
  <c r="L17" i="10"/>
  <c r="M17" i="10"/>
  <c r="H18" i="10"/>
  <c r="H17" i="10"/>
  <c r="J14" i="10"/>
  <c r="H14" i="10"/>
  <c r="M13" i="10"/>
  <c r="M14" i="10"/>
  <c r="L13" i="10"/>
  <c r="L14" i="10"/>
  <c r="L12" i="10"/>
  <c r="M12" i="10"/>
  <c r="J13" i="10"/>
  <c r="J12" i="10"/>
  <c r="H13" i="10"/>
  <c r="H12" i="10"/>
  <c r="H3" i="10"/>
  <c r="M9" i="7"/>
  <c r="M8" i="7"/>
  <c r="M5" i="7"/>
  <c r="M6" i="7"/>
  <c r="M7" i="7"/>
  <c r="M10" i="7"/>
  <c r="M11" i="7"/>
  <c r="M12" i="7"/>
  <c r="M13" i="7"/>
  <c r="M14" i="7"/>
  <c r="M15" i="7"/>
  <c r="M16" i="7"/>
  <c r="M17" i="7"/>
  <c r="M18" i="7"/>
  <c r="M19" i="7"/>
  <c r="M20" i="7"/>
  <c r="M4" i="7"/>
  <c r="M3" i="7"/>
  <c r="R16" i="10"/>
  <c r="R19" i="10"/>
  <c r="R20" i="10"/>
  <c r="R21" i="10"/>
  <c r="R15" i="10"/>
  <c r="P11" i="8"/>
  <c r="P12" i="8"/>
  <c r="P10" i="8"/>
  <c r="P7" i="8"/>
  <c r="P6" i="8"/>
  <c r="M12" i="8"/>
  <c r="M11" i="8"/>
  <c r="M10" i="8"/>
  <c r="M7" i="8"/>
  <c r="M6" i="8"/>
  <c r="R5" i="10"/>
  <c r="R6" i="10"/>
  <c r="R7" i="10"/>
  <c r="R4" i="10"/>
  <c r="O20" i="10"/>
  <c r="O21" i="10"/>
  <c r="O19" i="10"/>
  <c r="O16" i="10"/>
  <c r="O15" i="10"/>
  <c r="O5" i="10"/>
  <c r="O6" i="10"/>
  <c r="O7" i="10"/>
  <c r="O4" i="10"/>
  <c r="G44" i="12"/>
  <c r="G23" i="7"/>
  <c r="H29" i="10" s="1"/>
  <c r="I24" i="10" s="1"/>
  <c r="N31" i="12" s="1"/>
  <c r="W31" i="12" s="1"/>
  <c r="J9" i="10"/>
  <c r="L9" i="10"/>
  <c r="M9" i="10"/>
  <c r="J8" i="10"/>
  <c r="L8" i="10"/>
  <c r="M8" i="10"/>
  <c r="H9" i="10"/>
  <c r="H8" i="10"/>
  <c r="I25" i="10" l="1"/>
  <c r="N32" i="12" l="1"/>
  <c r="H16" i="10"/>
  <c r="I16" i="10" s="1"/>
  <c r="H15" i="10"/>
  <c r="I15" i="10" s="1"/>
  <c r="E16" i="9"/>
  <c r="G16" i="9"/>
  <c r="H16" i="9"/>
  <c r="E15" i="9"/>
  <c r="G15" i="9"/>
  <c r="H15" i="9"/>
  <c r="D16" i="9"/>
  <c r="D15" i="9"/>
  <c r="E9" i="9"/>
  <c r="G9" i="9"/>
  <c r="H9" i="9"/>
  <c r="H8" i="9"/>
  <c r="E8" i="9"/>
  <c r="G8" i="9"/>
  <c r="D9" i="9"/>
  <c r="D8" i="9"/>
  <c r="H4" i="9"/>
  <c r="H5" i="9"/>
  <c r="H3" i="9"/>
  <c r="G4" i="9"/>
  <c r="G5" i="9"/>
  <c r="G3" i="9"/>
  <c r="E4" i="9"/>
  <c r="E5" i="9"/>
  <c r="D4" i="9"/>
  <c r="D5" i="9"/>
  <c r="K14" i="8"/>
  <c r="K13" i="8"/>
  <c r="J14" i="8"/>
  <c r="J13" i="8"/>
  <c r="H14" i="8"/>
  <c r="H13" i="8"/>
  <c r="G14" i="8"/>
  <c r="G13" i="8"/>
  <c r="J9" i="8"/>
  <c r="K9" i="8"/>
  <c r="K8" i="8"/>
  <c r="J8" i="8"/>
  <c r="H9" i="8"/>
  <c r="H8" i="8"/>
  <c r="G9" i="8"/>
  <c r="G8" i="8"/>
  <c r="K4" i="8"/>
  <c r="K5" i="8"/>
  <c r="J4" i="8"/>
  <c r="J5" i="8"/>
  <c r="K3" i="8"/>
  <c r="J3" i="8"/>
  <c r="H4" i="8"/>
  <c r="H5" i="8"/>
  <c r="G4" i="8"/>
  <c r="G5" i="8"/>
  <c r="I4" i="6"/>
  <c r="I5" i="6"/>
  <c r="I6" i="6"/>
  <c r="I7" i="6"/>
  <c r="I8" i="6"/>
  <c r="D8" i="6" s="1"/>
  <c r="I9" i="6"/>
  <c r="D9" i="6" s="1"/>
  <c r="I10" i="6"/>
  <c r="D10" i="6" s="1"/>
  <c r="I11" i="6"/>
  <c r="I12" i="6"/>
  <c r="I3" i="6"/>
  <c r="E3" i="9"/>
  <c r="D3" i="9"/>
  <c r="H3" i="8"/>
  <c r="P3" i="8" s="1"/>
  <c r="G3" i="8"/>
  <c r="C3" i="8" l="1"/>
  <c r="C8" i="8"/>
  <c r="C14" i="8"/>
  <c r="F8" i="9"/>
  <c r="D7" i="6"/>
  <c r="F3" i="9"/>
  <c r="D3" i="6"/>
  <c r="F5" i="9"/>
  <c r="D5" i="6"/>
  <c r="F15" i="9"/>
  <c r="D11" i="6"/>
  <c r="C10" i="8"/>
  <c r="C11" i="8"/>
  <c r="C5" i="8"/>
  <c r="C12" i="8"/>
  <c r="C4" i="8"/>
  <c r="C13" i="8"/>
  <c r="C9" i="8"/>
  <c r="F9" i="9"/>
  <c r="D6" i="6"/>
  <c r="F16" i="9"/>
  <c r="D12" i="6"/>
  <c r="F4" i="9"/>
  <c r="D4" i="6"/>
  <c r="P4" i="8"/>
  <c r="P5" i="8"/>
  <c r="P8" i="8"/>
  <c r="P13" i="8"/>
  <c r="P9" i="8"/>
  <c r="P14" i="8"/>
  <c r="I3" i="8"/>
  <c r="H20" i="10"/>
  <c r="I20" i="10" s="1"/>
  <c r="H19" i="10"/>
  <c r="I19" i="10" s="1"/>
  <c r="I21" i="10"/>
  <c r="I5" i="8"/>
  <c r="I8" i="8"/>
  <c r="I9" i="8"/>
  <c r="I13" i="8"/>
  <c r="D13" i="8" s="1"/>
  <c r="I14" i="8"/>
  <c r="D14" i="8" s="1"/>
  <c r="I4" i="8"/>
  <c r="K10" i="10"/>
  <c r="K11" i="10"/>
  <c r="H6" i="8"/>
  <c r="H7" i="8"/>
  <c r="D11" i="12"/>
  <c r="D12" i="12"/>
  <c r="D24" i="12"/>
  <c r="D25" i="12"/>
  <c r="D26" i="12"/>
  <c r="D27" i="12"/>
  <c r="D28" i="12"/>
  <c r="D31" i="12"/>
  <c r="D32" i="12"/>
  <c r="D5" i="12"/>
  <c r="O36" i="12"/>
  <c r="H39" i="12"/>
  <c r="H37" i="12"/>
  <c r="G39" i="12"/>
  <c r="G37" i="12"/>
  <c r="G27" i="12"/>
  <c r="G26" i="12"/>
  <c r="G12" i="12"/>
  <c r="J12" i="12" s="1"/>
  <c r="G11" i="12"/>
  <c r="G5" i="12"/>
  <c r="S4" i="8"/>
  <c r="S5" i="8"/>
  <c r="S8" i="8"/>
  <c r="S9" i="8"/>
  <c r="S13" i="8"/>
  <c r="S14" i="8"/>
  <c r="S3" i="8"/>
  <c r="E28" i="11"/>
  <c r="N36" i="12" s="1"/>
  <c r="E27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6" i="11"/>
  <c r="E5" i="11"/>
  <c r="E3" i="11"/>
  <c r="I14" i="10"/>
  <c r="I13" i="10"/>
  <c r="I12" i="10"/>
  <c r="H13" i="7"/>
  <c r="F25" i="11"/>
  <c r="F26" i="11"/>
  <c r="F27" i="11"/>
  <c r="F24" i="11"/>
  <c r="D25" i="11"/>
  <c r="E25" i="11" s="1"/>
  <c r="D26" i="11"/>
  <c r="E26" i="11" s="1"/>
  <c r="D27" i="11"/>
  <c r="D24" i="11"/>
  <c r="E24" i="11" s="1"/>
  <c r="F20" i="11"/>
  <c r="F21" i="11"/>
  <c r="F19" i="11"/>
  <c r="D20" i="11"/>
  <c r="D21" i="11"/>
  <c r="D19" i="11"/>
  <c r="F12" i="11"/>
  <c r="F13" i="11"/>
  <c r="F14" i="11"/>
  <c r="F15" i="11"/>
  <c r="F11" i="11"/>
  <c r="D12" i="11"/>
  <c r="D13" i="11"/>
  <c r="D14" i="11"/>
  <c r="D15" i="11"/>
  <c r="D11" i="11"/>
  <c r="F5" i="11"/>
  <c r="F6" i="11"/>
  <c r="F7" i="11"/>
  <c r="F8" i="11"/>
  <c r="F4" i="11"/>
  <c r="D5" i="11"/>
  <c r="D6" i="11"/>
  <c r="D7" i="11"/>
  <c r="E7" i="11" s="1"/>
  <c r="D8" i="11"/>
  <c r="E8" i="11" s="1"/>
  <c r="D4" i="11"/>
  <c r="E4" i="11" s="1"/>
  <c r="N25" i="12"/>
  <c r="W25" i="12" s="1"/>
  <c r="N24" i="12"/>
  <c r="W24" i="12" s="1"/>
  <c r="H7" i="10"/>
  <c r="I7" i="10" s="1"/>
  <c r="H6" i="10"/>
  <c r="I6" i="10" s="1"/>
  <c r="H5" i="10"/>
  <c r="I5" i="10" s="1"/>
  <c r="H4" i="10"/>
  <c r="I4" i="10" s="1"/>
  <c r="E14" i="9"/>
  <c r="E13" i="9"/>
  <c r="E12" i="9"/>
  <c r="E11" i="9"/>
  <c r="E10" i="9"/>
  <c r="D14" i="9"/>
  <c r="D13" i="9"/>
  <c r="D12" i="9"/>
  <c r="D11" i="9"/>
  <c r="D10" i="9"/>
  <c r="D7" i="9"/>
  <c r="D6" i="9"/>
  <c r="H11" i="8"/>
  <c r="H12" i="8"/>
  <c r="H10" i="8"/>
  <c r="G12" i="8"/>
  <c r="G11" i="8"/>
  <c r="G10" i="8"/>
  <c r="G7" i="8"/>
  <c r="C7" i="8" s="1"/>
  <c r="G6" i="8"/>
  <c r="N20" i="12" l="1"/>
  <c r="D13" i="10"/>
  <c r="N22" i="12"/>
  <c r="D14" i="10"/>
  <c r="N18" i="12"/>
  <c r="I6" i="8"/>
  <c r="D6" i="8" s="1"/>
  <c r="C6" i="8"/>
  <c r="H5" i="12"/>
  <c r="D3" i="8"/>
  <c r="H26" i="12"/>
  <c r="K26" i="12" s="1"/>
  <c r="D8" i="8"/>
  <c r="H12" i="12"/>
  <c r="K12" i="12" s="1"/>
  <c r="D5" i="8"/>
  <c r="H11" i="12"/>
  <c r="K11" i="12" s="1"/>
  <c r="D4" i="8"/>
  <c r="H27" i="12"/>
  <c r="K27" i="12" s="1"/>
  <c r="D9" i="8"/>
  <c r="N44" i="12"/>
  <c r="N35" i="12"/>
  <c r="S10" i="8"/>
  <c r="I10" i="8"/>
  <c r="D10" i="8" s="1"/>
  <c r="G31" i="12"/>
  <c r="J31" i="12" s="1"/>
  <c r="I11" i="8"/>
  <c r="G32" i="12"/>
  <c r="I12" i="8"/>
  <c r="G25" i="12"/>
  <c r="J25" i="12" s="1"/>
  <c r="I7" i="8"/>
  <c r="K39" i="12"/>
  <c r="N6" i="12"/>
  <c r="N8" i="12"/>
  <c r="N10" i="12"/>
  <c r="N9" i="12"/>
  <c r="W9" i="12" s="1"/>
  <c r="S6" i="8"/>
  <c r="G24" i="12"/>
  <c r="J24" i="12" s="1"/>
  <c r="H24" i="12"/>
  <c r="K24" i="12" s="1"/>
  <c r="K37" i="12"/>
  <c r="H7" i="7"/>
  <c r="I9" i="10" s="1"/>
  <c r="D7" i="10" s="1"/>
  <c r="H8" i="7"/>
  <c r="N15" i="12" s="1"/>
  <c r="H14" i="7"/>
  <c r="H15" i="7"/>
  <c r="H19" i="7"/>
  <c r="H16" i="7"/>
  <c r="H18" i="7"/>
  <c r="K5" i="12"/>
  <c r="H6" i="7"/>
  <c r="I8" i="10" s="1"/>
  <c r="S12" i="8"/>
  <c r="H3" i="7"/>
  <c r="I3" i="10" s="1"/>
  <c r="H11" i="7"/>
  <c r="H4" i="7"/>
  <c r="H12" i="7"/>
  <c r="H9" i="7"/>
  <c r="N17" i="12" s="1"/>
  <c r="H17" i="7"/>
  <c r="H10" i="7"/>
  <c r="H5" i="7"/>
  <c r="S7" i="8"/>
  <c r="G28" i="12"/>
  <c r="J28" i="12" s="1"/>
  <c r="S11" i="8"/>
  <c r="E32" i="12"/>
  <c r="F32" i="12" s="1"/>
  <c r="E31" i="12"/>
  <c r="F31" i="12" s="1"/>
  <c r="E28" i="12"/>
  <c r="F28" i="12" s="1"/>
  <c r="E27" i="12"/>
  <c r="F27" i="12" s="1"/>
  <c r="E26" i="12"/>
  <c r="F26" i="12" s="1"/>
  <c r="E25" i="12"/>
  <c r="F25" i="12" s="1"/>
  <c r="E5" i="12"/>
  <c r="F5" i="12" s="1"/>
  <c r="E24" i="12"/>
  <c r="F24" i="12" s="1"/>
  <c r="E11" i="12"/>
  <c r="F11" i="12" s="1"/>
  <c r="E12" i="12"/>
  <c r="F12" i="12" s="1"/>
  <c r="J11" i="12"/>
  <c r="J37" i="12"/>
  <c r="J39" i="12"/>
  <c r="J5" i="12"/>
  <c r="J26" i="12"/>
  <c r="J27" i="12"/>
  <c r="N4" i="12" l="1"/>
  <c r="D3" i="10"/>
  <c r="N11" i="12"/>
  <c r="W11" i="12" s="1"/>
  <c r="D8" i="10"/>
  <c r="D12" i="10"/>
  <c r="D5" i="10"/>
  <c r="N12" i="12"/>
  <c r="W12" i="12" s="1"/>
  <c r="D9" i="10"/>
  <c r="X9" i="10"/>
  <c r="D24" i="10"/>
  <c r="D25" i="10"/>
  <c r="D15" i="10"/>
  <c r="D16" i="10"/>
  <c r="D6" i="10"/>
  <c r="D4" i="10"/>
  <c r="H32" i="12"/>
  <c r="K32" i="12" s="1"/>
  <c r="D12" i="8"/>
  <c r="H28" i="12"/>
  <c r="K28" i="12" s="1"/>
  <c r="H31" i="12"/>
  <c r="K31" i="12" s="1"/>
  <c r="D11" i="8"/>
  <c r="H25" i="12"/>
  <c r="D7" i="8"/>
  <c r="I17" i="10"/>
  <c r="I23" i="10"/>
  <c r="I18" i="10"/>
  <c r="J32" i="12"/>
  <c r="K25" i="12"/>
  <c r="Q31" i="12" l="1"/>
  <c r="N26" i="12"/>
  <c r="D17" i="10"/>
  <c r="Q25" i="12"/>
  <c r="Q24" i="12"/>
  <c r="Q10" i="12"/>
  <c r="T18" i="12"/>
  <c r="T24" i="12"/>
  <c r="T12" i="12"/>
  <c r="Q9" i="12"/>
  <c r="T25" i="12"/>
  <c r="T20" i="12"/>
  <c r="Q37" i="12"/>
  <c r="T9" i="12"/>
  <c r="T27" i="12"/>
  <c r="Q32" i="12"/>
  <c r="Q4" i="12"/>
  <c r="Q12" i="12"/>
  <c r="T6" i="12"/>
  <c r="T10" i="12"/>
  <c r="Q38" i="12"/>
  <c r="R36" i="12"/>
  <c r="T8" i="12"/>
  <c r="T26" i="12"/>
  <c r="T7" i="12"/>
  <c r="Q20" i="12"/>
  <c r="Q6" i="12"/>
  <c r="T22" i="12"/>
  <c r="Q15" i="12"/>
  <c r="Q17" i="12"/>
  <c r="Q22" i="12"/>
  <c r="Q36" i="12"/>
  <c r="T11" i="12"/>
  <c r="Q18" i="12"/>
  <c r="Q8" i="12"/>
  <c r="Q39" i="12"/>
  <c r="Q11" i="12"/>
  <c r="N27" i="12"/>
  <c r="D18" i="10"/>
  <c r="J3" i="7"/>
  <c r="D3" i="7" s="1"/>
  <c r="J6" i="7"/>
  <c r="D6" i="7" s="1"/>
  <c r="O12" i="12"/>
  <c r="U12" i="12" s="1"/>
  <c r="E9" i="10"/>
  <c r="D11" i="7"/>
  <c r="J10" i="7"/>
  <c r="K12" i="10" s="1"/>
  <c r="X12" i="10" s="1"/>
  <c r="J11" i="7"/>
  <c r="K13" i="10" s="1"/>
  <c r="X13" i="10" s="1"/>
  <c r="J5" i="7"/>
  <c r="D5" i="7" s="1"/>
  <c r="H23" i="7"/>
  <c r="J15" i="7" s="1"/>
  <c r="Q26" i="12" l="1"/>
  <c r="W26" i="12"/>
  <c r="Q27" i="12"/>
  <c r="W27" i="12"/>
  <c r="X12" i="12"/>
  <c r="K23" i="10"/>
  <c r="X23" i="10" s="1"/>
  <c r="Q20" i="7"/>
  <c r="O20" i="12"/>
  <c r="E13" i="10"/>
  <c r="D15" i="7"/>
  <c r="K18" i="10"/>
  <c r="X18" i="10" s="1"/>
  <c r="E12" i="10"/>
  <c r="O18" i="12"/>
  <c r="V12" i="12"/>
  <c r="R12" i="12"/>
  <c r="J17" i="7"/>
  <c r="J9" i="7"/>
  <c r="K8" i="10"/>
  <c r="X8" i="10" s="1"/>
  <c r="D10" i="7"/>
  <c r="K3" i="10"/>
  <c r="I29" i="10"/>
  <c r="J4" i="7"/>
  <c r="D4" i="7" s="1"/>
  <c r="J12" i="7"/>
  <c r="J8" i="7"/>
  <c r="J14" i="7"/>
  <c r="J13" i="7"/>
  <c r="E25" i="10" l="1"/>
  <c r="A25" i="10" s="1"/>
  <c r="O32" i="12"/>
  <c r="X25" i="10"/>
  <c r="R18" i="12"/>
  <c r="U18" i="12"/>
  <c r="R20" i="12"/>
  <c r="U20" i="12"/>
  <c r="E3" i="10"/>
  <c r="X3" i="10"/>
  <c r="O4" i="12"/>
  <c r="E18" i="10"/>
  <c r="O27" i="12"/>
  <c r="U27" i="12" s="1"/>
  <c r="E8" i="10"/>
  <c r="O11" i="12"/>
  <c r="K14" i="10"/>
  <c r="X14" i="10" s="1"/>
  <c r="D12" i="7"/>
  <c r="O44" i="12"/>
  <c r="V44" i="12" s="1"/>
  <c r="D13" i="7"/>
  <c r="K17" i="10"/>
  <c r="X17" i="10" s="1"/>
  <c r="D14" i="7"/>
  <c r="D9" i="7"/>
  <c r="O17" i="12"/>
  <c r="R17" i="12" s="1"/>
  <c r="K19" i="10"/>
  <c r="K16" i="10"/>
  <c r="X16" i="10" s="1"/>
  <c r="K15" i="10"/>
  <c r="X15" i="10" s="1"/>
  <c r="K20" i="10"/>
  <c r="X20" i="10" s="1"/>
  <c r="K6" i="10"/>
  <c r="X6" i="10" s="1"/>
  <c r="K5" i="10"/>
  <c r="X5" i="10" s="1"/>
  <c r="K7" i="10"/>
  <c r="X7" i="10" s="1"/>
  <c r="K21" i="10"/>
  <c r="O35" i="12" s="1"/>
  <c r="R35" i="12" s="1"/>
  <c r="K4" i="10"/>
  <c r="X4" i="10" s="1"/>
  <c r="D8" i="7"/>
  <c r="O15" i="12"/>
  <c r="R15" i="12" s="1"/>
  <c r="X27" i="12" l="1"/>
  <c r="U4" i="12"/>
  <c r="R4" i="12"/>
  <c r="U11" i="12"/>
  <c r="X11" i="12"/>
  <c r="U32" i="12"/>
  <c r="X32" i="12"/>
  <c r="V32" i="12"/>
  <c r="R32" i="12"/>
  <c r="O31" i="12"/>
  <c r="R31" i="12" s="1"/>
  <c r="X19" i="10"/>
  <c r="O25" i="12"/>
  <c r="E16" i="10"/>
  <c r="E7" i="10"/>
  <c r="O10" i="12"/>
  <c r="O6" i="12"/>
  <c r="E4" i="10"/>
  <c r="V31" i="12"/>
  <c r="V11" i="12"/>
  <c r="R11" i="12"/>
  <c r="V27" i="12"/>
  <c r="R27" i="12"/>
  <c r="O24" i="12"/>
  <c r="E15" i="10"/>
  <c r="E14" i="10"/>
  <c r="O22" i="12"/>
  <c r="O8" i="12"/>
  <c r="O7" i="12"/>
  <c r="R7" i="12" s="1"/>
  <c r="E5" i="10"/>
  <c r="O9" i="12"/>
  <c r="U9" i="12" s="1"/>
  <c r="E6" i="10"/>
  <c r="E17" i="10"/>
  <c r="O26" i="12"/>
  <c r="U24" i="12" l="1"/>
  <c r="X24" i="12"/>
  <c r="U25" i="12"/>
  <c r="X25" i="12"/>
  <c r="R6" i="12"/>
  <c r="U6" i="12"/>
  <c r="R8" i="12"/>
  <c r="U8" i="12"/>
  <c r="U26" i="12"/>
  <c r="X26" i="12"/>
  <c r="R10" i="12"/>
  <c r="U10" i="12"/>
  <c r="R22" i="12"/>
  <c r="U22" i="12"/>
  <c r="U31" i="12"/>
  <c r="X31" i="12"/>
  <c r="R26" i="12"/>
  <c r="V26" i="12"/>
  <c r="R24" i="12"/>
  <c r="V24" i="12"/>
  <c r="V9" i="12"/>
  <c r="R9" i="12"/>
  <c r="V25" i="12"/>
  <c r="R25" i="12"/>
</calcChain>
</file>

<file path=xl/sharedStrings.xml><?xml version="1.0" encoding="utf-8"?>
<sst xmlns="http://schemas.openxmlformats.org/spreadsheetml/2006/main" count="433" uniqueCount="122">
  <si>
    <t>unc</t>
  </si>
  <si>
    <t>chi2</t>
  </si>
  <si>
    <t>SF lit</t>
  </si>
  <si>
    <t>norm</t>
  </si>
  <si>
    <t>0.0</t>
  </si>
  <si>
    <t>0d5/2, 1+</t>
  </si>
  <si>
    <t>0d5/2, 3+</t>
  </si>
  <si>
    <t>1s1/2, 3+</t>
  </si>
  <si>
    <t>0d5/2, 0+</t>
  </si>
  <si>
    <t>0d5/2, 5+</t>
  </si>
  <si>
    <t>1s1/2, 2+</t>
  </si>
  <si>
    <t>0d5/2, 2+</t>
  </si>
  <si>
    <t>0d5/2, 4+</t>
  </si>
  <si>
    <t>1f7/2, 2-</t>
  </si>
  <si>
    <t>0d3/2, 3+</t>
  </si>
  <si>
    <t>0.937 (3+)</t>
  </si>
  <si>
    <t>1.042 (0+)</t>
  </si>
  <si>
    <t>1.121 (5+)</t>
  </si>
  <si>
    <t>0d3/2, 2+</t>
  </si>
  <si>
    <t>3.062 (2+)</t>
  </si>
  <si>
    <t>0d3/2, 1+</t>
  </si>
  <si>
    <t>3.727 (1+)</t>
  </si>
  <si>
    <t>3.839 (2+)</t>
  </si>
  <si>
    <t>4.115 (3+)</t>
  </si>
  <si>
    <t>4.360 (1+)</t>
  </si>
  <si>
    <t>4.652 (4+)</t>
  </si>
  <si>
    <t>0d3/2, 4+</t>
  </si>
  <si>
    <t>4.753 (0+)</t>
  </si>
  <si>
    <t>4.964 (2+)</t>
  </si>
  <si>
    <t>6.136 (0+)</t>
  </si>
  <si>
    <t>6.163 (3+)</t>
  </si>
  <si>
    <t>6.633
6.643</t>
  </si>
  <si>
    <t>lit ratio</t>
  </si>
  <si>
    <t>SM ratio</t>
  </si>
  <si>
    <t>3.552 (4+)</t>
  </si>
  <si>
    <t>3.630 (0+)</t>
  </si>
  <si>
    <t>3.920 (2+)</t>
  </si>
  <si>
    <t>1.982 (2+)</t>
  </si>
  <si>
    <t>0.0 (0+)</t>
  </si>
  <si>
    <t>5.255 (2+)</t>
  </si>
  <si>
    <t>5.340 (0+)</t>
  </si>
  <si>
    <t>5.375 (3+)</t>
  </si>
  <si>
    <t>1p3/2, 1-</t>
  </si>
  <si>
    <t>6.200 (1-)</t>
  </si>
  <si>
    <t>7.1 (4+)</t>
  </si>
  <si>
    <t>norm factor</t>
  </si>
  <si>
    <t>comment</t>
  </si>
  <si>
    <t>SF</t>
  </si>
  <si>
    <t>free fit</t>
  </si>
  <si>
    <t>3.552 (4+)
3.620 (0+)</t>
  </si>
  <si>
    <t>5.255 (2+)
5.340 (0+)
5.375 (3+)</t>
  </si>
  <si>
    <t>both 4+ and 0+ are d-waves, fitted with DWBA calculation for the mean energy of the doublet and only 4+</t>
  </si>
  <si>
    <t>2+ and 3+ are s-waves and I took only the 3+ (SF in the literature is higher for that one)</t>
  </si>
  <si>
    <t>0.937 (3+)
1.042 (0+)</t>
  </si>
  <si>
    <t>SF norm</t>
  </si>
  <si>
    <t>3.727 (1+)
3.839 (2+)</t>
  </si>
  <si>
    <t>4.652 (4+)
4.753 (0+)</t>
  </si>
  <si>
    <t>no data in literature on these states</t>
  </si>
  <si>
    <t>1d5/2, 3+</t>
  </si>
  <si>
    <t>relative values like for the 5.340 0+ and 5.375 3+ states in 18O (IAS)</t>
  </si>
  <si>
    <t>1d3/2, 3+</t>
  </si>
  <si>
    <t>norm factor 2</t>
  </si>
  <si>
    <t>SF with literature ratios</t>
  </si>
  <si>
    <t xml:space="preserve">SF free fit </t>
  </si>
  <si>
    <t>SF *</t>
  </si>
  <si>
    <t>SM (i) for 1.982 (1st 2+)</t>
  </si>
  <si>
    <t>18O</t>
  </si>
  <si>
    <t>Experiment</t>
  </si>
  <si>
    <t>SM</t>
  </si>
  <si>
    <t>Exp re-norm</t>
  </si>
  <si>
    <t>18F</t>
  </si>
  <si>
    <t>SM SF</t>
  </si>
  <si>
    <t>SF norm (Opt 2 lit)</t>
  </si>
  <si>
    <t>no information on these states in literature, so i took the 'Option 1' (free fit) values</t>
  </si>
  <si>
    <t>literature</t>
  </si>
  <si>
    <t>lit norm</t>
  </si>
  <si>
    <t>chi2/ndf</t>
  </si>
  <si>
    <t>unc (15%)</t>
  </si>
  <si>
    <t>unc * sqrt(chi2/ndf)</t>
  </si>
  <si>
    <t xml:space="preserve">6.283 (2+) </t>
  </si>
  <si>
    <t>6.283 (2+)</t>
  </si>
  <si>
    <t>some energy</t>
  </si>
  <si>
    <t>1p3/2, 3-</t>
  </si>
  <si>
    <t>6.286</t>
  </si>
  <si>
    <t>some state</t>
  </si>
  <si>
    <t>SF literature</t>
  </si>
  <si>
    <t>Exp re-norm unc</t>
  </si>
  <si>
    <t>energy</t>
  </si>
  <si>
    <t>unc d</t>
  </si>
  <si>
    <t>unc p</t>
  </si>
  <si>
    <t>unc s</t>
  </si>
  <si>
    <t>need to fix the unc of unbound states</t>
  </si>
  <si>
    <t>5.6 (ell=0)</t>
  </si>
  <si>
    <t>5.6 (ell=1)</t>
  </si>
  <si>
    <t>This uses the USDi interaction. Some states are not reproduced or messed up (marked with red)</t>
  </si>
  <si>
    <t>lit ratio from 17O(3He,d)18F</t>
  </si>
  <si>
    <t>6.136 &amp; 6.163</t>
  </si>
  <si>
    <t>0d5/2</t>
  </si>
  <si>
    <t>1s1/2</t>
  </si>
  <si>
    <t>some of the states are not reproduced with SM so I wouldn't trust this too much</t>
  </si>
  <si>
    <t>(SF_O - SF_F)/sqrt(unc_O^2+unc_F^2)</t>
  </si>
  <si>
    <t>comparing fits with Option 1 (maybe makes more sense since both states are ell=2 and cannot be separated)</t>
  </si>
  <si>
    <t>weighted diff</t>
  </si>
  <si>
    <t>unc. Lit</t>
  </si>
  <si>
    <t>unc norm</t>
  </si>
  <si>
    <t>unc norm inflated</t>
  </si>
  <si>
    <t>unc norm factor</t>
  </si>
  <si>
    <t>unc norm factor 2</t>
  </si>
  <si>
    <t>unc inflated</t>
  </si>
  <si>
    <t>unc final</t>
  </si>
  <si>
    <t>unc final (including sqrt(chi2/ndf) and lit. Uncertainty</t>
  </si>
  <si>
    <t>unc fit</t>
  </si>
  <si>
    <t>SF re-norm to lit</t>
  </si>
  <si>
    <t>unc re-norm to lit</t>
  </si>
  <si>
    <t>lit</t>
  </si>
  <si>
    <t>what to do about lit SF for this state?</t>
  </si>
  <si>
    <t>unc lit</t>
  </si>
  <si>
    <t>epsilon</t>
  </si>
  <si>
    <t>unc eps</t>
  </si>
  <si>
    <t>ratio</t>
  </si>
  <si>
    <t>unc frac</t>
  </si>
  <si>
    <t>unc/SF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</si>
</sst>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9" formatCode="0.00000000"/>
    <numFmt numFmtId="171" formatCode="0.000000"/>
    <numFmt numFmtId="172" formatCode="0.0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8" tint="0.3999755851924192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CEF"/>
        <bgColor indexed="64"/>
      </patternFill>
    </fill>
    <fill>
      <patternFill patternType="solid">
        <fgColor rgb="FF7FFFF0"/>
        <bgColor indexed="64"/>
      </patternFill>
    </fill>
    <fill>
      <patternFill patternType="solid">
        <fgColor rgb="FFFDFFBB"/>
        <bgColor indexed="64"/>
      </patternFill>
    </fill>
    <fill>
      <patternFill patternType="solid">
        <fgColor rgb="FFD8E4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4" borderId="7" xfId="0" applyFill="1" applyBorder="1"/>
    <xf numFmtId="0" fontId="0" fillId="4" borderId="8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0" xfId="0" applyFill="1"/>
    <xf numFmtId="0" fontId="0" fillId="5" borderId="5" xfId="0" applyFill="1" applyBorder="1"/>
    <xf numFmtId="0" fontId="0" fillId="5" borderId="6" xfId="0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6" borderId="4" xfId="0" applyFill="1" applyBorder="1"/>
    <xf numFmtId="0" fontId="0" fillId="6" borderId="5" xfId="0" applyFill="1" applyBorder="1"/>
    <xf numFmtId="0" fontId="0" fillId="7" borderId="4" xfId="0" applyFill="1" applyBorder="1" applyAlignment="1">
      <alignment horizontal="center"/>
    </xf>
    <xf numFmtId="0" fontId="0" fillId="7" borderId="0" xfId="0" applyFill="1"/>
    <xf numFmtId="0" fontId="0" fillId="7" borderId="5" xfId="0" applyFill="1" applyBorder="1"/>
    <xf numFmtId="0" fontId="0" fillId="7" borderId="6" xfId="0" applyFill="1" applyBorder="1" applyAlignment="1">
      <alignment horizontal="center"/>
    </xf>
    <xf numFmtId="0" fontId="0" fillId="7" borderId="7" xfId="0" applyFill="1" applyBorder="1"/>
    <xf numFmtId="0" fontId="0" fillId="7" borderId="8" xfId="0" applyFill="1" applyBorder="1"/>
    <xf numFmtId="0" fontId="1" fillId="0" borderId="10" xfId="0" applyFont="1" applyBorder="1"/>
    <xf numFmtId="0" fontId="1" fillId="0" borderId="0" xfId="0" applyFont="1"/>
    <xf numFmtId="0" fontId="1" fillId="0" borderId="7" xfId="0" applyFont="1" applyBorder="1"/>
    <xf numFmtId="0" fontId="1" fillId="0" borderId="2" xfId="0" applyFont="1" applyBorder="1"/>
    <xf numFmtId="0" fontId="1" fillId="4" borderId="7" xfId="0" applyFont="1" applyFill="1" applyBorder="1"/>
    <xf numFmtId="0" fontId="1" fillId="5" borderId="2" xfId="0" applyFont="1" applyFill="1" applyBorder="1"/>
    <xf numFmtId="0" fontId="1" fillId="5" borderId="0" xfId="0" applyFont="1" applyFill="1"/>
    <xf numFmtId="0" fontId="1" fillId="5" borderId="7" xfId="0" applyFont="1" applyFill="1" applyBorder="1"/>
    <xf numFmtId="0" fontId="1" fillId="7" borderId="0" xfId="0" applyFont="1" applyFill="1"/>
    <xf numFmtId="0" fontId="1" fillId="7" borderId="7" xfId="0" applyFont="1" applyFill="1" applyBorder="1"/>
    <xf numFmtId="0" fontId="0" fillId="4" borderId="4" xfId="0" applyFill="1" applyBorder="1"/>
    <xf numFmtId="0" fontId="0" fillId="4" borderId="0" xfId="0" applyFill="1"/>
    <xf numFmtId="0" fontId="1" fillId="4" borderId="0" xfId="0" applyFont="1" applyFill="1"/>
    <xf numFmtId="0" fontId="0" fillId="4" borderId="5" xfId="0" applyFill="1" applyBorder="1"/>
    <xf numFmtId="0" fontId="0" fillId="0" borderId="9" xfId="0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8" borderId="2" xfId="0" applyFill="1" applyBorder="1"/>
    <xf numFmtId="0" fontId="0" fillId="3" borderId="9" xfId="0" applyFill="1" applyBorder="1" applyAlignment="1">
      <alignment horizontal="center" wrapText="1"/>
    </xf>
    <xf numFmtId="0" fontId="0" fillId="3" borderId="10" xfId="0" applyFill="1" applyBorder="1"/>
    <xf numFmtId="0" fontId="1" fillId="8" borderId="10" xfId="0" applyFont="1" applyFill="1" applyBorder="1"/>
    <xf numFmtId="0" fontId="0" fillId="8" borderId="10" xfId="0" applyFill="1" applyBorder="1"/>
    <xf numFmtId="0" fontId="0" fillId="8" borderId="11" xfId="0" applyFill="1" applyBorder="1"/>
    <xf numFmtId="0" fontId="0" fillId="7" borderId="2" xfId="0" applyFill="1" applyBorder="1"/>
    <xf numFmtId="0" fontId="1" fillId="7" borderId="2" xfId="0" applyFont="1" applyFill="1" applyBorder="1"/>
    <xf numFmtId="0" fontId="0" fillId="7" borderId="3" xfId="0" applyFill="1" applyBorder="1"/>
    <xf numFmtId="0" fontId="1" fillId="8" borderId="2" xfId="0" applyFont="1" applyFill="1" applyBorder="1"/>
    <xf numFmtId="0" fontId="0" fillId="4" borderId="2" xfId="0" applyFill="1" applyBorder="1"/>
    <xf numFmtId="0" fontId="0" fillId="7" borderId="6" xfId="0" applyFill="1" applyBorder="1"/>
    <xf numFmtId="0" fontId="0" fillId="5" borderId="1" xfId="0" applyFill="1" applyBorder="1" applyAlignment="1">
      <alignment horizontal="center" wrapText="1"/>
    </xf>
    <xf numFmtId="0" fontId="0" fillId="8" borderId="9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11" fontId="0" fillId="7" borderId="2" xfId="0" applyNumberFormat="1" applyFill="1" applyBorder="1"/>
    <xf numFmtId="0" fontId="0" fillId="4" borderId="4" xfId="0" applyFill="1" applyBorder="1" applyAlignment="1">
      <alignment horizontal="center"/>
    </xf>
    <xf numFmtId="0" fontId="0" fillId="3" borderId="9" xfId="0" applyFill="1" applyBorder="1" applyAlignment="1">
      <alignment wrapText="1"/>
    </xf>
    <xf numFmtId="0" fontId="1" fillId="3" borderId="10" xfId="0" applyFont="1" applyFill="1" applyBorder="1"/>
    <xf numFmtId="0" fontId="0" fillId="3" borderId="11" xfId="0" applyFill="1" applyBorder="1"/>
    <xf numFmtId="0" fontId="0" fillId="8" borderId="0" xfId="0" applyFill="1"/>
    <xf numFmtId="0" fontId="0" fillId="0" borderId="1" xfId="0" applyBorder="1"/>
    <xf numFmtId="0" fontId="0" fillId="8" borderId="1" xfId="0" applyFill="1" applyBorder="1" applyAlignment="1">
      <alignment horizontal="center"/>
    </xf>
    <xf numFmtId="0" fontId="0" fillId="8" borderId="3" xfId="0" applyFill="1" applyBorder="1"/>
    <xf numFmtId="0" fontId="1" fillId="8" borderId="0" xfId="0" applyFont="1" applyFill="1"/>
    <xf numFmtId="0" fontId="0" fillId="8" borderId="6" xfId="0" applyFill="1" applyBorder="1" applyAlignment="1">
      <alignment horizontal="center" wrapText="1"/>
    </xf>
    <xf numFmtId="0" fontId="0" fillId="8" borderId="7" xfId="0" applyFill="1" applyBorder="1"/>
    <xf numFmtId="0" fontId="1" fillId="8" borderId="7" xfId="0" applyFont="1" applyFill="1" applyBorder="1"/>
    <xf numFmtId="0" fontId="0" fillId="8" borderId="8" xfId="0" applyFill="1" applyBorder="1"/>
    <xf numFmtId="0" fontId="0" fillId="3" borderId="6" xfId="0" applyFill="1" applyBorder="1" applyAlignment="1">
      <alignment wrapText="1"/>
    </xf>
    <xf numFmtId="0" fontId="0" fillId="3" borderId="7" xfId="0" applyFill="1" applyBorder="1"/>
    <xf numFmtId="0" fontId="1" fillId="3" borderId="7" xfId="0" applyFont="1" applyFill="1" applyBorder="1"/>
    <xf numFmtId="0" fontId="0" fillId="3" borderId="8" xfId="0" applyFill="1" applyBorder="1"/>
    <xf numFmtId="0" fontId="0" fillId="4" borderId="1" xfId="0" applyFill="1" applyBorder="1"/>
    <xf numFmtId="0" fontId="1" fillId="4" borderId="2" xfId="0" applyFont="1" applyFill="1" applyBorder="1"/>
    <xf numFmtId="0" fontId="0" fillId="4" borderId="3" xfId="0" applyFill="1" applyBorder="1"/>
    <xf numFmtId="0" fontId="0" fillId="4" borderId="6" xfId="0" applyFill="1" applyBorder="1" applyAlignment="1">
      <alignment horizontal="center"/>
    </xf>
    <xf numFmtId="0" fontId="0" fillId="5" borderId="4" xfId="0" applyFill="1" applyBorder="1" applyAlignment="1">
      <alignment horizontal="center" wrapText="1"/>
    </xf>
    <xf numFmtId="0" fontId="0" fillId="5" borderId="4" xfId="0" applyFill="1" applyBorder="1"/>
    <xf numFmtId="0" fontId="0" fillId="8" borderId="4" xfId="0" applyFill="1" applyBorder="1" applyAlignment="1">
      <alignment horizontal="center"/>
    </xf>
    <xf numFmtId="0" fontId="0" fillId="8" borderId="5" xfId="0" applyFill="1" applyBorder="1"/>
    <xf numFmtId="11" fontId="1" fillId="7" borderId="2" xfId="0" applyNumberFormat="1" applyFont="1" applyFill="1" applyBorder="1"/>
    <xf numFmtId="164" fontId="0" fillId="0" borderId="0" xfId="0" applyNumberFormat="1"/>
    <xf numFmtId="0" fontId="0" fillId="0" borderId="12" xfId="0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20" xfId="0" applyBorder="1" applyAlignment="1">
      <alignment wrapText="1"/>
    </xf>
    <xf numFmtId="0" fontId="0" fillId="0" borderId="21" xfId="0" applyBorder="1"/>
    <xf numFmtId="0" fontId="0" fillId="0" borderId="22" xfId="0" applyBorder="1"/>
    <xf numFmtId="0" fontId="0" fillId="0" borderId="20" xfId="0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0" fillId="0" borderId="16" xfId="0" applyNumberFormat="1" applyBorder="1"/>
    <xf numFmtId="0" fontId="0" fillId="0" borderId="4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0" xfId="0" applyBorder="1"/>
    <xf numFmtId="0" fontId="5" fillId="0" borderId="10" xfId="0" applyFont="1" applyBorder="1"/>
    <xf numFmtId="0" fontId="5" fillId="0" borderId="2" xfId="0" applyFont="1" applyBorder="1"/>
    <xf numFmtId="0" fontId="5" fillId="0" borderId="7" xfId="0" applyFont="1" applyBorder="1"/>
    <xf numFmtId="0" fontId="0" fillId="0" borderId="2" xfId="0" applyFill="1" applyBorder="1"/>
    <xf numFmtId="0" fontId="6" fillId="4" borderId="6" xfId="0" applyFont="1" applyFill="1" applyBorder="1"/>
    <xf numFmtId="0" fontId="6" fillId="4" borderId="7" xfId="0" applyFont="1" applyFill="1" applyBorder="1"/>
    <xf numFmtId="0" fontId="7" fillId="4" borderId="7" xfId="0" applyFont="1" applyFill="1" applyBorder="1"/>
    <xf numFmtId="0" fontId="6" fillId="4" borderId="8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/>
    <xf numFmtId="0" fontId="7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0" fontId="6" fillId="2" borderId="5" xfId="0" applyFont="1" applyFill="1" applyBorder="1"/>
    <xf numFmtId="0" fontId="6" fillId="6" borderId="4" xfId="0" applyFont="1" applyFill="1" applyBorder="1"/>
    <xf numFmtId="0" fontId="6" fillId="6" borderId="0" xfId="0" applyFont="1" applyFill="1"/>
    <xf numFmtId="0" fontId="7" fillId="6" borderId="0" xfId="0" applyFont="1" applyFill="1"/>
    <xf numFmtId="0" fontId="6" fillId="6" borderId="5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/>
    <xf numFmtId="0" fontId="0" fillId="0" borderId="0" xfId="0" applyFill="1" applyBorder="1" applyAlignment="1">
      <alignment horizontal="center" wrapText="1"/>
    </xf>
    <xf numFmtId="0" fontId="0" fillId="4" borderId="0" xfId="0" applyFill="1" applyBorder="1"/>
    <xf numFmtId="0" fontId="3" fillId="0" borderId="0" xfId="0" applyFont="1" applyFill="1" applyBorder="1" applyAlignment="1">
      <alignment horizontal="center"/>
    </xf>
    <xf numFmtId="164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7" borderId="0" xfId="0" applyFill="1" applyBorder="1"/>
    <xf numFmtId="0" fontId="0" fillId="8" borderId="0" xfId="0" applyFill="1" applyBorder="1"/>
    <xf numFmtId="0" fontId="0" fillId="6" borderId="0" xfId="0" applyFill="1" applyBorder="1"/>
    <xf numFmtId="0" fontId="1" fillId="0" borderId="0" xfId="0" applyFont="1" applyBorder="1"/>
    <xf numFmtId="0" fontId="1" fillId="6" borderId="0" xfId="0" applyFont="1" applyFill="1" applyBorder="1"/>
    <xf numFmtId="0" fontId="1" fillId="7" borderId="0" xfId="0" applyFont="1" applyFill="1" applyBorder="1"/>
    <xf numFmtId="0" fontId="1" fillId="8" borderId="0" xfId="0" applyFont="1" applyFill="1" applyBorder="1"/>
    <xf numFmtId="0" fontId="1" fillId="4" borderId="0" xfId="0" applyFont="1" applyFill="1" applyBorder="1"/>
    <xf numFmtId="0" fontId="5" fillId="0" borderId="2" xfId="0" applyFont="1" applyFill="1" applyBorder="1"/>
    <xf numFmtId="0" fontId="5" fillId="0" borderId="3" xfId="0" applyFont="1" applyBorder="1"/>
    <xf numFmtId="0" fontId="5" fillId="0" borderId="7" xfId="0" applyFont="1" applyFill="1" applyBorder="1"/>
    <xf numFmtId="0" fontId="5" fillId="0" borderId="8" xfId="0" applyFont="1" applyBorder="1"/>
    <xf numFmtId="0" fontId="0" fillId="0" borderId="7" xfId="0" applyFill="1" applyBorder="1"/>
    <xf numFmtId="0" fontId="0" fillId="0" borderId="1" xfId="0" applyFill="1" applyBorder="1" applyAlignment="1">
      <alignment horizontal="center" wrapText="1"/>
    </xf>
    <xf numFmtId="0" fontId="0" fillId="0" borderId="3" xfId="0" applyFill="1" applyBorder="1"/>
    <xf numFmtId="0" fontId="0" fillId="0" borderId="6" xfId="0" applyFill="1" applyBorder="1" applyAlignment="1">
      <alignment horizontal="center" wrapText="1"/>
    </xf>
    <xf numFmtId="0" fontId="0" fillId="0" borderId="8" xfId="0" applyFill="1" applyBorder="1"/>
    <xf numFmtId="0" fontId="0" fillId="0" borderId="10" xfId="0" applyNumberFormat="1" applyBorder="1"/>
    <xf numFmtId="0" fontId="0" fillId="7" borderId="2" xfId="0" applyNumberFormat="1" applyFill="1" applyBorder="1"/>
    <xf numFmtId="0" fontId="0" fillId="0" borderId="2" xfId="0" applyNumberFormat="1" applyFill="1" applyBorder="1"/>
    <xf numFmtId="0" fontId="0" fillId="5" borderId="2" xfId="0" applyNumberFormat="1" applyFill="1" applyBorder="1"/>
    <xf numFmtId="0" fontId="0" fillId="0" borderId="2" xfId="0" applyNumberFormat="1" applyBorder="1"/>
    <xf numFmtId="0" fontId="3" fillId="0" borderId="0" xfId="0" applyFont="1"/>
    <xf numFmtId="169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4" fillId="0" borderId="0" xfId="0" applyFont="1"/>
    <xf numFmtId="164" fontId="3" fillId="0" borderId="0" xfId="0" applyNumberFormat="1" applyFont="1"/>
    <xf numFmtId="172" fontId="3" fillId="0" borderId="0" xfId="0" applyNumberFormat="1" applyFont="1"/>
    <xf numFmtId="17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E4FF"/>
      <color rgb="FFFDFFBB"/>
      <color rgb="FF7FFFF0"/>
      <color rgb="FFFFE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2.8358848121663845E-2"/>
          <c:y val="7.4010143766119627E-2"/>
          <c:w val="0.94726781598612242"/>
          <c:h val="0.8941310869657922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'6.136 MeV in 18F'!$C$2:$M$2</c:f>
              <c:numCache>
                <c:formatCode>General</c:formatCode>
                <c:ptCount val="11"/>
                <c:pt idx="0">
                  <c:v>6.1494999999999997</c:v>
                </c:pt>
                <c:pt idx="1">
                  <c:v>5.8994999999999997</c:v>
                </c:pt>
                <c:pt idx="2">
                  <c:v>5.6494999999999997</c:v>
                </c:pt>
                <c:pt idx="3">
                  <c:v>5.3994999999999997</c:v>
                </c:pt>
                <c:pt idx="4">
                  <c:v>5.1494999999999997</c:v>
                </c:pt>
                <c:pt idx="5">
                  <c:v>4.8994999999999997</c:v>
                </c:pt>
                <c:pt idx="6">
                  <c:v>4.6494999999999997</c:v>
                </c:pt>
                <c:pt idx="7">
                  <c:v>4.3994999999999997</c:v>
                </c:pt>
                <c:pt idx="8">
                  <c:v>4.1494999999999997</c:v>
                </c:pt>
                <c:pt idx="9">
                  <c:v>3.8995000000000002</c:v>
                </c:pt>
                <c:pt idx="10">
                  <c:v>3.6495000000000002</c:v>
                </c:pt>
              </c:numCache>
            </c:numRef>
          </c:xVal>
          <c:yVal>
            <c:numRef>
              <c:f>'6.136 MeV in 18F'!$C$4:$M$4</c:f>
              <c:numCache>
                <c:formatCode>General</c:formatCode>
                <c:ptCount val="11"/>
                <c:pt idx="0">
                  <c:v>2.3650600000000002</c:v>
                </c:pt>
                <c:pt idx="1">
                  <c:v>2.3795500000000001</c:v>
                </c:pt>
                <c:pt idx="2">
                  <c:v>2.3946399999999999</c:v>
                </c:pt>
                <c:pt idx="3">
                  <c:v>1.2217899999999999</c:v>
                </c:pt>
                <c:pt idx="4">
                  <c:v>1.16235</c:v>
                </c:pt>
                <c:pt idx="5">
                  <c:v>1.10592</c:v>
                </c:pt>
                <c:pt idx="6">
                  <c:v>1.05311</c:v>
                </c:pt>
                <c:pt idx="7">
                  <c:v>1.00722</c:v>
                </c:pt>
                <c:pt idx="8">
                  <c:v>0.96824699999999997</c:v>
                </c:pt>
                <c:pt idx="9">
                  <c:v>0.93530800000000003</c:v>
                </c:pt>
                <c:pt idx="10">
                  <c:v>0.93530800000000003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0-804B-832B-5D122E097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09984"/>
        <c:axId val="182611776"/>
      </c:scatterChart>
      <c:valAx>
        <c:axId val="18260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2611776"/>
        <c:crosses val="autoZero"/>
        <c:crossBetween val="midCat"/>
      </c:valAx>
      <c:valAx>
        <c:axId val="1826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260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'6.136 MeV in 18F'!$C$2:$M$2</c:f>
              <c:numCache>
                <c:formatCode>General</c:formatCode>
                <c:ptCount val="11"/>
                <c:pt idx="0">
                  <c:v>6.1494999999999997</c:v>
                </c:pt>
                <c:pt idx="1">
                  <c:v>5.8994999999999997</c:v>
                </c:pt>
                <c:pt idx="2">
                  <c:v>5.6494999999999997</c:v>
                </c:pt>
                <c:pt idx="3">
                  <c:v>5.3994999999999997</c:v>
                </c:pt>
                <c:pt idx="4">
                  <c:v>5.1494999999999997</c:v>
                </c:pt>
                <c:pt idx="5">
                  <c:v>4.8994999999999997</c:v>
                </c:pt>
                <c:pt idx="6">
                  <c:v>4.6494999999999997</c:v>
                </c:pt>
                <c:pt idx="7">
                  <c:v>4.3994999999999997</c:v>
                </c:pt>
                <c:pt idx="8">
                  <c:v>4.1494999999999997</c:v>
                </c:pt>
                <c:pt idx="9">
                  <c:v>3.8995000000000002</c:v>
                </c:pt>
                <c:pt idx="10">
                  <c:v>3.6495000000000002</c:v>
                </c:pt>
              </c:numCache>
            </c:numRef>
          </c:xVal>
          <c:yVal>
            <c:numRef>
              <c:f>'6.136 MeV in 18F'!$C$5:$M$5</c:f>
              <c:numCache>
                <c:formatCode>General</c:formatCode>
                <c:ptCount val="11"/>
                <c:pt idx="0">
                  <c:v>0.27305800000000002</c:v>
                </c:pt>
                <c:pt idx="1">
                  <c:v>0.27387499999999998</c:v>
                </c:pt>
                <c:pt idx="2">
                  <c:v>0.27462799999999998</c:v>
                </c:pt>
                <c:pt idx="3">
                  <c:v>0</c:v>
                </c:pt>
                <c:pt idx="4">
                  <c:v>0</c:v>
                </c:pt>
                <c:pt idx="5">
                  <c:v>1.48281E-2</c:v>
                </c:pt>
                <c:pt idx="6">
                  <c:v>6.7396800000000007E-2</c:v>
                </c:pt>
                <c:pt idx="7">
                  <c:v>7.57607E-2</c:v>
                </c:pt>
                <c:pt idx="8">
                  <c:v>8.3863800000000002E-2</c:v>
                </c:pt>
                <c:pt idx="9">
                  <c:v>9.1579400000000005E-2</c:v>
                </c:pt>
                <c:pt idx="10">
                  <c:v>9.1579400000000005E-2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A-B84C-BE75-43439321A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09984"/>
        <c:axId val="182611776"/>
      </c:scatterChart>
      <c:valAx>
        <c:axId val="18260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2611776"/>
        <c:crosses val="autoZero"/>
        <c:crossBetween val="midCat"/>
      </c:valAx>
      <c:valAx>
        <c:axId val="1826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260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34550915626463E-2"/>
          <c:y val="1.6593726902771538E-2"/>
          <c:w val="0.93931557531847676"/>
          <c:h val="0.864425528290930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'6.136 MeV in 18F'!$B$52</c:f>
              <c:strCache>
                <c:ptCount val="1"/>
                <c:pt idx="0">
                  <c:v>0d5/2, 0+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'6.136 MeV in 18F'!$C$54:$M$54</c:f>
                <c:numCache>
                  <c:formatCode>General</c:formatCode>
                  <c:ptCount val="11"/>
                  <c:pt idx="0">
                    <c:v>0.27</c:v>
                  </c:pt>
                  <c:pt idx="1">
                    <c:v>0.27</c:v>
                  </c:pt>
                  <c:pt idx="2">
                    <c:v>0.27</c:v>
                  </c:pt>
                  <c:pt idx="3">
                    <c:v>0.53800000000000003</c:v>
                  </c:pt>
                  <c:pt idx="4">
                    <c:v>0.54</c:v>
                  </c:pt>
                  <c:pt idx="5">
                    <c:v>0.55789</c:v>
                  </c:pt>
                  <c:pt idx="6">
                    <c:v>0.56000000000000005</c:v>
                  </c:pt>
                  <c:pt idx="7">
                    <c:v>0.57999999999999996</c:v>
                  </c:pt>
                  <c:pt idx="8">
                    <c:v>0.59</c:v>
                  </c:pt>
                  <c:pt idx="9">
                    <c:v>0.61</c:v>
                  </c:pt>
                  <c:pt idx="10">
                    <c:v>0.62983999999999996</c:v>
                  </c:pt>
                </c:numCache>
              </c:numRef>
            </c:plus>
            <c:minus>
              <c:numRef>
                <c:f>'6.136 MeV in 18F'!$C$54:$M$54</c:f>
                <c:numCache>
                  <c:formatCode>General</c:formatCode>
                  <c:ptCount val="11"/>
                  <c:pt idx="0">
                    <c:v>0.27</c:v>
                  </c:pt>
                  <c:pt idx="1">
                    <c:v>0.27</c:v>
                  </c:pt>
                  <c:pt idx="2">
                    <c:v>0.27</c:v>
                  </c:pt>
                  <c:pt idx="3">
                    <c:v>0.53800000000000003</c:v>
                  </c:pt>
                  <c:pt idx="4">
                    <c:v>0.54</c:v>
                  </c:pt>
                  <c:pt idx="5">
                    <c:v>0.55789</c:v>
                  </c:pt>
                  <c:pt idx="6">
                    <c:v>0.56000000000000005</c:v>
                  </c:pt>
                  <c:pt idx="7">
                    <c:v>0.57999999999999996</c:v>
                  </c:pt>
                  <c:pt idx="8">
                    <c:v>0.59</c:v>
                  </c:pt>
                  <c:pt idx="9">
                    <c:v>0.61</c:v>
                  </c:pt>
                  <c:pt idx="10">
                    <c:v>0.62983999999999996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'6.136 MeV in 18F'!$C$51:$M$51</c:f>
              <c:numCache>
                <c:formatCode>General</c:formatCode>
                <c:ptCount val="11"/>
                <c:pt idx="0">
                  <c:v>6.1494999999999997</c:v>
                </c:pt>
                <c:pt idx="1">
                  <c:v>5.8994999999999997</c:v>
                </c:pt>
                <c:pt idx="2">
                  <c:v>5.6494999999999997</c:v>
                </c:pt>
                <c:pt idx="3">
                  <c:v>5.3994999999999997</c:v>
                </c:pt>
                <c:pt idx="4">
                  <c:v>5.1494999999999997</c:v>
                </c:pt>
                <c:pt idx="5">
                  <c:v>4.8994999999999997</c:v>
                </c:pt>
                <c:pt idx="6">
                  <c:v>4.6494999999999997</c:v>
                </c:pt>
                <c:pt idx="7">
                  <c:v>4.3994999999999997</c:v>
                </c:pt>
                <c:pt idx="8">
                  <c:v>4.1494999999999997</c:v>
                </c:pt>
                <c:pt idx="9">
                  <c:v>3.8995000000000002</c:v>
                </c:pt>
                <c:pt idx="10">
                  <c:v>3.6495000000000002</c:v>
                </c:pt>
              </c:numCache>
            </c:numRef>
          </c:xVal>
          <c:yVal>
            <c:numRef>
              <c:f>'6.136 MeV in 18F'!$C$52:$M$52</c:f>
              <c:numCache>
                <c:formatCode>General</c:formatCode>
                <c:ptCount val="11"/>
                <c:pt idx="0">
                  <c:v>1.0426500000000001</c:v>
                </c:pt>
                <c:pt idx="1">
                  <c:v>1.0470600000000001</c:v>
                </c:pt>
                <c:pt idx="2">
                  <c:v>1.05064</c:v>
                </c:pt>
                <c:pt idx="3">
                  <c:v>0.49790699999999999</c:v>
                </c:pt>
                <c:pt idx="4">
                  <c:v>0.66287600000000002</c:v>
                </c:pt>
                <c:pt idx="5">
                  <c:v>0.83402299999999996</c:v>
                </c:pt>
                <c:pt idx="6">
                  <c:v>1.0051600000000001</c:v>
                </c:pt>
                <c:pt idx="7">
                  <c:v>1.1682900000000001</c:v>
                </c:pt>
                <c:pt idx="8">
                  <c:v>1.33883</c:v>
                </c:pt>
                <c:pt idx="9">
                  <c:v>1.5131300000000001</c:v>
                </c:pt>
                <c:pt idx="10">
                  <c:v>1.6860299999999999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F2-F44E-8620-A6E4150AE9AC}"/>
            </c:ext>
          </c:extLst>
        </c:ser>
        <c:ser>
          <c:idx val="1"/>
          <c:order val="1"/>
          <c:tx>
            <c:strRef>
              <c:f>'6.136 MeV in 18F'!$B$53</c:f>
              <c:strCache>
                <c:ptCount val="1"/>
                <c:pt idx="0">
                  <c:v>1s1/2, 3+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'6.136 MeV in 18F'!$C$55:$M$55</c:f>
                <c:numCache>
                  <c:formatCode>General</c:formatCode>
                  <c:ptCount val="11"/>
                  <c:pt idx="0">
                    <c:v>0.35</c:v>
                  </c:pt>
                  <c:pt idx="1">
                    <c:v>0.36</c:v>
                  </c:pt>
                  <c:pt idx="2">
                    <c:v>0.36</c:v>
                  </c:pt>
                  <c:pt idx="3">
                    <c:v>0.16575200000000001</c:v>
                  </c:pt>
                  <c:pt idx="4">
                    <c:v>0.158</c:v>
                  </c:pt>
                  <c:pt idx="5">
                    <c:v>0.15</c:v>
                  </c:pt>
                  <c:pt idx="6">
                    <c:v>0.14480000000000001</c:v>
                  </c:pt>
                  <c:pt idx="7">
                    <c:v>0.1386</c:v>
                  </c:pt>
                  <c:pt idx="8">
                    <c:v>0.13300000000000001</c:v>
                  </c:pt>
                  <c:pt idx="9">
                    <c:v>0.129</c:v>
                  </c:pt>
                  <c:pt idx="10">
                    <c:v>0.12610299999999999</c:v>
                  </c:pt>
                </c:numCache>
              </c:numRef>
            </c:plus>
            <c:minus>
              <c:numRef>
                <c:f>'6.136 MeV in 18F'!$C$55:$M$55</c:f>
                <c:numCache>
                  <c:formatCode>General</c:formatCode>
                  <c:ptCount val="11"/>
                  <c:pt idx="0">
                    <c:v>0.35</c:v>
                  </c:pt>
                  <c:pt idx="1">
                    <c:v>0.36</c:v>
                  </c:pt>
                  <c:pt idx="2">
                    <c:v>0.36</c:v>
                  </c:pt>
                  <c:pt idx="3">
                    <c:v>0.16575200000000001</c:v>
                  </c:pt>
                  <c:pt idx="4">
                    <c:v>0.158</c:v>
                  </c:pt>
                  <c:pt idx="5">
                    <c:v>0.15</c:v>
                  </c:pt>
                  <c:pt idx="6">
                    <c:v>0.14480000000000001</c:v>
                  </c:pt>
                  <c:pt idx="7">
                    <c:v>0.1386</c:v>
                  </c:pt>
                  <c:pt idx="8">
                    <c:v>0.13300000000000001</c:v>
                  </c:pt>
                  <c:pt idx="9">
                    <c:v>0.129</c:v>
                  </c:pt>
                  <c:pt idx="10">
                    <c:v>0.12610299999999999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'6.136 MeV in 18F'!$C$51:$M$51</c:f>
              <c:numCache>
                <c:formatCode>General</c:formatCode>
                <c:ptCount val="11"/>
                <c:pt idx="0">
                  <c:v>6.1494999999999997</c:v>
                </c:pt>
                <c:pt idx="1">
                  <c:v>5.8994999999999997</c:v>
                </c:pt>
                <c:pt idx="2">
                  <c:v>5.6494999999999997</c:v>
                </c:pt>
                <c:pt idx="3">
                  <c:v>5.3994999999999997</c:v>
                </c:pt>
                <c:pt idx="4">
                  <c:v>5.1494999999999997</c:v>
                </c:pt>
                <c:pt idx="5">
                  <c:v>4.8994999999999997</c:v>
                </c:pt>
                <c:pt idx="6">
                  <c:v>4.6494999999999997</c:v>
                </c:pt>
                <c:pt idx="7">
                  <c:v>4.3994999999999997</c:v>
                </c:pt>
                <c:pt idx="8">
                  <c:v>4.1494999999999997</c:v>
                </c:pt>
                <c:pt idx="9">
                  <c:v>3.8995000000000002</c:v>
                </c:pt>
                <c:pt idx="10">
                  <c:v>3.6495000000000002</c:v>
                </c:pt>
              </c:numCache>
            </c:numRef>
          </c:xVal>
          <c:yVal>
            <c:numRef>
              <c:f>'6.136 MeV in 18F'!$C$53:$M$53</c:f>
              <c:numCache>
                <c:formatCode>General</c:formatCode>
                <c:ptCount val="11"/>
                <c:pt idx="0">
                  <c:v>2.5594700000000001</c:v>
                </c:pt>
                <c:pt idx="1">
                  <c:v>2.57497</c:v>
                </c:pt>
                <c:pt idx="2">
                  <c:v>2.5909900000000001</c:v>
                </c:pt>
                <c:pt idx="3">
                  <c:v>1.22211</c:v>
                </c:pt>
                <c:pt idx="4">
                  <c:v>1.16221</c:v>
                </c:pt>
                <c:pt idx="5">
                  <c:v>1.1067199999999999</c:v>
                </c:pt>
                <c:pt idx="6">
                  <c:v>1.0541400000000001</c:v>
                </c:pt>
                <c:pt idx="7">
                  <c:v>1.0069999999999999</c:v>
                </c:pt>
                <c:pt idx="8">
                  <c:v>0.96</c:v>
                </c:pt>
                <c:pt idx="9">
                  <c:v>0.93427000000000004</c:v>
                </c:pt>
                <c:pt idx="10">
                  <c:v>0.89916200000000002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F2-F44E-8620-A6E4150AE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83744"/>
        <c:axId val="196585536"/>
      </c:scatterChart>
      <c:valAx>
        <c:axId val="19658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6585536"/>
        <c:crosses val="autoZero"/>
        <c:crossBetween val="midCat"/>
      </c:valAx>
      <c:valAx>
        <c:axId val="19658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6583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'6.136 MeV in 18F'!$B$67</c:f>
              <c:strCache>
                <c:ptCount val="1"/>
                <c:pt idx="0">
                  <c:v>1s1/2, 3+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'6.136 MeV in 18F'!$C$69:$M$69</c:f>
                <c:numCache>
                  <c:formatCode>General</c:formatCode>
                  <c:ptCount val="11"/>
                  <c:pt idx="0">
                    <c:v>0.38</c:v>
                  </c:pt>
                  <c:pt idx="1">
                    <c:v>0.38</c:v>
                  </c:pt>
                  <c:pt idx="2">
                    <c:v>0.38479999999999998</c:v>
                  </c:pt>
                  <c:pt idx="3">
                    <c:v>0.16</c:v>
                  </c:pt>
                  <c:pt idx="4">
                    <c:v>0.16</c:v>
                  </c:pt>
                  <c:pt idx="5">
                    <c:v>0.152</c:v>
                  </c:pt>
                  <c:pt idx="6">
                    <c:v>0.14399999999999999</c:v>
                  </c:pt>
                  <c:pt idx="7">
                    <c:v>0.1333</c:v>
                  </c:pt>
                  <c:pt idx="8">
                    <c:v>0.13</c:v>
                  </c:pt>
                  <c:pt idx="9">
                    <c:v>0.12770000000000001</c:v>
                  </c:pt>
                  <c:pt idx="10">
                    <c:v>0.12</c:v>
                  </c:pt>
                </c:numCache>
              </c:numRef>
            </c:plus>
            <c:minus>
              <c:numRef>
                <c:f>'6.136 MeV in 18F'!$C$69:$M$69</c:f>
                <c:numCache>
                  <c:formatCode>General</c:formatCode>
                  <c:ptCount val="11"/>
                  <c:pt idx="0">
                    <c:v>0.38</c:v>
                  </c:pt>
                  <c:pt idx="1">
                    <c:v>0.38</c:v>
                  </c:pt>
                  <c:pt idx="2">
                    <c:v>0.38479999999999998</c:v>
                  </c:pt>
                  <c:pt idx="3">
                    <c:v>0.16</c:v>
                  </c:pt>
                  <c:pt idx="4">
                    <c:v>0.16</c:v>
                  </c:pt>
                  <c:pt idx="5">
                    <c:v>0.152</c:v>
                  </c:pt>
                  <c:pt idx="6">
                    <c:v>0.14399999999999999</c:v>
                  </c:pt>
                  <c:pt idx="7">
                    <c:v>0.1333</c:v>
                  </c:pt>
                  <c:pt idx="8">
                    <c:v>0.13</c:v>
                  </c:pt>
                  <c:pt idx="9">
                    <c:v>0.12770000000000001</c:v>
                  </c:pt>
                  <c:pt idx="10">
                    <c:v>0.12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'6.136 MeV in 18F'!$C$66:$M$66</c:f>
              <c:numCache>
                <c:formatCode>General</c:formatCode>
                <c:ptCount val="11"/>
                <c:pt idx="0">
                  <c:v>6.1494999999999997</c:v>
                </c:pt>
                <c:pt idx="1">
                  <c:v>5.8994999999999997</c:v>
                </c:pt>
                <c:pt idx="2">
                  <c:v>5.6494999999999997</c:v>
                </c:pt>
                <c:pt idx="3">
                  <c:v>5.3994999999999997</c:v>
                </c:pt>
                <c:pt idx="4">
                  <c:v>5.1494999999999997</c:v>
                </c:pt>
                <c:pt idx="5">
                  <c:v>4.8994999999999997</c:v>
                </c:pt>
                <c:pt idx="6">
                  <c:v>4.6494999999999997</c:v>
                </c:pt>
                <c:pt idx="7">
                  <c:v>4.3994999999999997</c:v>
                </c:pt>
                <c:pt idx="8">
                  <c:v>4.1494999999999997</c:v>
                </c:pt>
                <c:pt idx="9">
                  <c:v>3.8995000000000002</c:v>
                </c:pt>
                <c:pt idx="10">
                  <c:v>3.6495000000000002</c:v>
                </c:pt>
              </c:numCache>
            </c:numRef>
          </c:xVal>
          <c:yVal>
            <c:numRef>
              <c:f>'6.136 MeV in 18F'!$C$67:$M$67</c:f>
              <c:numCache>
                <c:formatCode>General</c:formatCode>
                <c:ptCount val="11"/>
                <c:pt idx="0">
                  <c:v>2.3648799999999999</c:v>
                </c:pt>
                <c:pt idx="1">
                  <c:v>2.379</c:v>
                </c:pt>
                <c:pt idx="2">
                  <c:v>2.3949600000000002</c:v>
                </c:pt>
                <c:pt idx="3">
                  <c:v>1.2212499999999999</c:v>
                </c:pt>
                <c:pt idx="4">
                  <c:v>1.1599999999999999</c:v>
                </c:pt>
                <c:pt idx="5">
                  <c:v>1.10493</c:v>
                </c:pt>
                <c:pt idx="6">
                  <c:v>1.05307</c:v>
                </c:pt>
                <c:pt idx="7">
                  <c:v>1.00718</c:v>
                </c:pt>
                <c:pt idx="8">
                  <c:v>0.97</c:v>
                </c:pt>
                <c:pt idx="9">
                  <c:v>0.93529399999999996</c:v>
                </c:pt>
                <c:pt idx="10">
                  <c:v>0.90600000000000003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8-DD46-8CDE-996EE75AFEDE}"/>
            </c:ext>
          </c:extLst>
        </c:ser>
        <c:ser>
          <c:idx val="1"/>
          <c:order val="1"/>
          <c:tx>
            <c:strRef>
              <c:f>'6.136 MeV in 18F'!$B$68</c:f>
              <c:strCache>
                <c:ptCount val="1"/>
                <c:pt idx="0">
                  <c:v>1p3/2, 3-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'6.136 MeV in 18F'!$C$70:$M$70</c:f>
                <c:numCache>
                  <c:formatCode>General</c:formatCode>
                  <c:ptCount val="11"/>
                  <c:pt idx="0">
                    <c:v>6.9000000000000006E-2</c:v>
                  </c:pt>
                  <c:pt idx="1">
                    <c:v>6.9000000000000006E-2</c:v>
                  </c:pt>
                  <c:pt idx="2">
                    <c:v>6.7000000000000004E-2</c:v>
                  </c:pt>
                  <c:pt idx="3">
                    <c:v>0.04</c:v>
                  </c:pt>
                  <c:pt idx="4">
                    <c:v>0.04</c:v>
                  </c:pt>
                  <c:pt idx="5">
                    <c:v>3.9E-2</c:v>
                  </c:pt>
                  <c:pt idx="6">
                    <c:v>3.7999999999999999E-2</c:v>
                  </c:pt>
                  <c:pt idx="7">
                    <c:v>3.6999999999999998E-2</c:v>
                  </c:pt>
                  <c:pt idx="8">
                    <c:v>3.5999999999999997E-2</c:v>
                  </c:pt>
                  <c:pt idx="9">
                    <c:v>3.5999999999999997E-2</c:v>
                  </c:pt>
                  <c:pt idx="10">
                    <c:v>3.5999999999999997E-2</c:v>
                  </c:pt>
                </c:numCache>
              </c:numRef>
            </c:plus>
            <c:minus>
              <c:numRef>
                <c:f>'6.136 MeV in 18F'!$C$70:$M$70</c:f>
                <c:numCache>
                  <c:formatCode>General</c:formatCode>
                  <c:ptCount val="11"/>
                  <c:pt idx="0">
                    <c:v>6.9000000000000006E-2</c:v>
                  </c:pt>
                  <c:pt idx="1">
                    <c:v>6.9000000000000006E-2</c:v>
                  </c:pt>
                  <c:pt idx="2">
                    <c:v>6.7000000000000004E-2</c:v>
                  </c:pt>
                  <c:pt idx="3">
                    <c:v>0.04</c:v>
                  </c:pt>
                  <c:pt idx="4">
                    <c:v>0.04</c:v>
                  </c:pt>
                  <c:pt idx="5">
                    <c:v>3.9E-2</c:v>
                  </c:pt>
                  <c:pt idx="6">
                    <c:v>3.7999999999999999E-2</c:v>
                  </c:pt>
                  <c:pt idx="7">
                    <c:v>3.6999999999999998E-2</c:v>
                  </c:pt>
                  <c:pt idx="8">
                    <c:v>3.5999999999999997E-2</c:v>
                  </c:pt>
                  <c:pt idx="9">
                    <c:v>3.5999999999999997E-2</c:v>
                  </c:pt>
                  <c:pt idx="10">
                    <c:v>3.5999999999999997E-2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'6.136 MeV in 18F'!$C$66:$M$66</c:f>
              <c:numCache>
                <c:formatCode>General</c:formatCode>
                <c:ptCount val="11"/>
                <c:pt idx="0">
                  <c:v>6.1494999999999997</c:v>
                </c:pt>
                <c:pt idx="1">
                  <c:v>5.8994999999999997</c:v>
                </c:pt>
                <c:pt idx="2">
                  <c:v>5.6494999999999997</c:v>
                </c:pt>
                <c:pt idx="3">
                  <c:v>5.3994999999999997</c:v>
                </c:pt>
                <c:pt idx="4">
                  <c:v>5.1494999999999997</c:v>
                </c:pt>
                <c:pt idx="5">
                  <c:v>4.8994999999999997</c:v>
                </c:pt>
                <c:pt idx="6">
                  <c:v>4.6494999999999997</c:v>
                </c:pt>
                <c:pt idx="7">
                  <c:v>4.3994999999999997</c:v>
                </c:pt>
                <c:pt idx="8">
                  <c:v>4.1494999999999997</c:v>
                </c:pt>
                <c:pt idx="9">
                  <c:v>3.8995000000000002</c:v>
                </c:pt>
                <c:pt idx="10">
                  <c:v>3.6495000000000002</c:v>
                </c:pt>
              </c:numCache>
            </c:numRef>
          </c:xVal>
          <c:yVal>
            <c:numRef>
              <c:f>'6.136 MeV in 18F'!$C$68:$M$68</c:f>
              <c:numCache>
                <c:formatCode>General</c:formatCode>
                <c:ptCount val="11"/>
                <c:pt idx="0">
                  <c:v>0.27</c:v>
                </c:pt>
                <c:pt idx="1">
                  <c:v>0.27</c:v>
                </c:pt>
                <c:pt idx="2">
                  <c:v>0.27</c:v>
                </c:pt>
                <c:pt idx="3">
                  <c:v>3.7118199999999997E-2</c:v>
                </c:pt>
                <c:pt idx="4">
                  <c:v>4.7E-2</c:v>
                </c:pt>
                <c:pt idx="5">
                  <c:v>5.8000000000000003E-2</c:v>
                </c:pt>
                <c:pt idx="6">
                  <c:v>6.7599999999999993E-2</c:v>
                </c:pt>
                <c:pt idx="7">
                  <c:v>7.5800000000000006E-2</c:v>
                </c:pt>
                <c:pt idx="8">
                  <c:v>8.3799999999999999E-2</c:v>
                </c:pt>
                <c:pt idx="9">
                  <c:v>9.1538900000000006E-2</c:v>
                </c:pt>
                <c:pt idx="10">
                  <c:v>9.8000000000000004E-2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38-DD46-8CDE-996EE75AF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25216"/>
        <c:axId val="205827008"/>
      </c:scatterChart>
      <c:valAx>
        <c:axId val="20582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05827008"/>
        <c:crosses val="autoZero"/>
        <c:crossBetween val="midCat"/>
      </c:valAx>
      <c:valAx>
        <c:axId val="20582700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0582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431800</xdr:colOff>
      <xdr:row>8</xdr:row>
      <xdr:rowOff>25400</xdr:rowOff>
    </xdr:from>
    <xdr:to>
      <xdr:col>16</xdr:col>
      <xdr:colOff>23905</xdr:colOff>
      <xdr:row>28</xdr:row>
      <xdr:rowOff>44822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83460-3707-9115-3080-976D5FF0A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638735</xdr:colOff>
      <xdr:row>8</xdr:row>
      <xdr:rowOff>12699</xdr:rowOff>
    </xdr:from>
    <xdr:to>
      <xdr:col>8</xdr:col>
      <xdr:colOff>330200</xdr:colOff>
      <xdr:row>27</xdr:row>
      <xdr:rowOff>32868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F46C7D-81C1-394A-8132-1DF0B8132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28</xdr:row>
      <xdr:rowOff>139699</xdr:rowOff>
    </xdr:from>
    <xdr:to>
      <xdr:col>12</xdr:col>
      <xdr:colOff>636492</xdr:colOff>
      <xdr:row>49</xdr:row>
      <xdr:rowOff>76196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851AF2-ACCE-9F67-D47D-54440B56B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462054</xdr:colOff>
      <xdr:row>70</xdr:row>
      <xdr:rowOff>190500</xdr:rowOff>
    </xdr:from>
    <xdr:to>
      <xdr:col>13</xdr:col>
      <xdr:colOff>12699</xdr:colOff>
      <xdr:row>91</xdr:row>
      <xdr:rowOff>198967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2A9A70-9CD8-0AFD-E3BF-BF188BDE9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BF61-7143-F246-8310-61B610542A2A}">
  <dimension ref="A2:T14"/>
  <sheetViews>
    <sheetView zoomScale="120" zoomScaleNormal="120" workbookViewId="0">
      <selection activeCell="I6" sqref="I6"/>
    </sheetView>
  </sheetViews>
  <sheetFormatPr baseColWidth="10" defaultRowHeight="16" x14ac:dyDescent="0.2"/>
  <cols>
    <col min="9" max="9" width="14.1640625" customWidth="1"/>
  </cols>
  <sheetData>
    <row r="2" spans="1:20" ht="17" thickBot="1" x14ac:dyDescent="0.25">
      <c r="A2" s="183" t="s">
        <v>114</v>
      </c>
      <c r="B2" s="183" t="s">
        <v>116</v>
      </c>
      <c r="C2" s="183" t="s">
        <v>112</v>
      </c>
      <c r="D2" s="183" t="s">
        <v>113</v>
      </c>
      <c r="G2" t="s">
        <v>47</v>
      </c>
      <c r="H2" t="s">
        <v>0</v>
      </c>
      <c r="I2" t="s">
        <v>109</v>
      </c>
      <c r="J2" t="s">
        <v>1</v>
      </c>
      <c r="K2" t="s">
        <v>76</v>
      </c>
      <c r="L2" t="s">
        <v>46</v>
      </c>
    </row>
    <row r="3" spans="1:20" ht="17" thickBot="1" x14ac:dyDescent="0.25">
      <c r="A3" s="183">
        <v>1.22</v>
      </c>
      <c r="B3" s="189">
        <f>A3*0.15</f>
        <v>0.183</v>
      </c>
      <c r="C3" s="188">
        <f>G3*$A$5/$G$5</f>
        <v>1.045608194518147</v>
      </c>
      <c r="D3" s="189">
        <f>I3*$A$5/$G$5</f>
        <v>0.14268404206129237</v>
      </c>
      <c r="E3" s="8" t="s">
        <v>38</v>
      </c>
      <c r="F3" s="9" t="s">
        <v>8</v>
      </c>
      <c r="G3" s="32">
        <v>6.1960600000000001</v>
      </c>
      <c r="H3" s="9">
        <v>0.50926499999999997</v>
      </c>
      <c r="I3" s="9">
        <f>H3*SQRT(K3)</f>
        <v>0.84551640881286871</v>
      </c>
      <c r="J3" s="10">
        <v>8.2694700000000001</v>
      </c>
      <c r="K3">
        <v>2.7564899999999999</v>
      </c>
      <c r="L3" t="s">
        <v>48</v>
      </c>
    </row>
    <row r="4" spans="1:20" ht="17" thickBot="1" x14ac:dyDescent="0.25">
      <c r="A4" s="183">
        <v>0.21</v>
      </c>
      <c r="B4" s="189">
        <f t="shared" ref="B4:B12" si="0">A4*0.15</f>
        <v>3.15E-2</v>
      </c>
      <c r="C4" s="188">
        <f t="shared" ref="C4:C12" si="1">G4*$A$5/$G$5</f>
        <v>0.12542687982498407</v>
      </c>
      <c r="D4" s="189">
        <f t="shared" ref="D4:D12" si="2">I4*$A$5/$G$5</f>
        <v>1.808558684555622E-2</v>
      </c>
      <c r="E4" s="118" t="s">
        <v>37</v>
      </c>
      <c r="F4" s="2" t="s">
        <v>10</v>
      </c>
      <c r="G4" s="35">
        <v>0.74325399999999997</v>
      </c>
      <c r="H4" s="2">
        <v>9.4910800000000003E-2</v>
      </c>
      <c r="I4" s="9">
        <f t="shared" ref="I4:I12" si="3">H4*SQRT(K4)</f>
        <v>0.10717148336994237</v>
      </c>
      <c r="J4" s="3">
        <v>10.2004</v>
      </c>
      <c r="K4">
        <v>1.27505</v>
      </c>
      <c r="L4" t="s">
        <v>48</v>
      </c>
    </row>
    <row r="5" spans="1:20" ht="17" thickBot="1" x14ac:dyDescent="0.25">
      <c r="A5" s="183">
        <v>0.83</v>
      </c>
      <c r="B5" s="189">
        <f t="shared" si="0"/>
        <v>0.12449999999999999</v>
      </c>
      <c r="C5" s="188">
        <f t="shared" si="1"/>
        <v>0.83000000000000007</v>
      </c>
      <c r="D5" s="189">
        <f t="shared" si="2"/>
        <v>4.1252740579656055E-2</v>
      </c>
      <c r="E5" s="119"/>
      <c r="F5" s="6" t="s">
        <v>11</v>
      </c>
      <c r="G5" s="34">
        <v>4.9184099999999997</v>
      </c>
      <c r="H5" s="6">
        <v>0.21648899999999999</v>
      </c>
      <c r="I5" s="9">
        <f t="shared" si="3"/>
        <v>0.24445529131853752</v>
      </c>
      <c r="J5" s="3">
        <v>10.2004</v>
      </c>
      <c r="K5">
        <v>1.27505</v>
      </c>
    </row>
    <row r="6" spans="1:20" ht="35" thickBot="1" x14ac:dyDescent="0.25">
      <c r="A6" s="183">
        <f>1.57+0.28</f>
        <v>1.85</v>
      </c>
      <c r="B6" s="189">
        <f t="shared" si="0"/>
        <v>0.27750000000000002</v>
      </c>
      <c r="C6" s="188">
        <f t="shared" si="1"/>
        <v>1.4229668327772591</v>
      </c>
      <c r="D6" s="189">
        <f t="shared" si="2"/>
        <v>7.8770000587649075E-2</v>
      </c>
      <c r="E6" s="49" t="s">
        <v>49</v>
      </c>
      <c r="F6" s="50" t="s">
        <v>12</v>
      </c>
      <c r="G6" s="51">
        <v>8.4322099999999995</v>
      </c>
      <c r="H6" s="52">
        <v>0.14779700000000001</v>
      </c>
      <c r="I6" s="9">
        <f t="shared" si="3"/>
        <v>0.46677488986783022</v>
      </c>
      <c r="J6" s="53">
        <v>69.820300000000003</v>
      </c>
      <c r="K6" s="68">
        <v>9.9743300000000001</v>
      </c>
      <c r="L6" t="s">
        <v>51</v>
      </c>
      <c r="T6" s="187" t="s">
        <v>115</v>
      </c>
    </row>
    <row r="7" spans="1:20" ht="17" thickBot="1" x14ac:dyDescent="0.25">
      <c r="A7" s="132">
        <v>0.35</v>
      </c>
      <c r="B7" s="189">
        <f t="shared" si="0"/>
        <v>5.2499999999999998E-2</v>
      </c>
      <c r="C7" s="188">
        <f t="shared" si="1"/>
        <v>0.21349708544021337</v>
      </c>
      <c r="D7" s="189">
        <f t="shared" si="2"/>
        <v>7.3709224025362258E-2</v>
      </c>
      <c r="E7" s="118" t="s">
        <v>36</v>
      </c>
      <c r="F7" s="2" t="s">
        <v>10</v>
      </c>
      <c r="G7" s="35">
        <v>1.2651399999999999</v>
      </c>
      <c r="H7" s="2">
        <v>0.160803</v>
      </c>
      <c r="I7" s="9">
        <f t="shared" si="3"/>
        <v>0.43678576450431567</v>
      </c>
      <c r="J7" s="3">
        <v>44.267000000000003</v>
      </c>
      <c r="K7">
        <v>7.3781699999999999</v>
      </c>
      <c r="L7" t="s">
        <v>48</v>
      </c>
    </row>
    <row r="8" spans="1:20" ht="17" thickBot="1" x14ac:dyDescent="0.25">
      <c r="A8" s="132">
        <v>0.66</v>
      </c>
      <c r="B8" s="189">
        <f t="shared" si="0"/>
        <v>9.9000000000000005E-2</v>
      </c>
      <c r="C8" s="188">
        <f t="shared" si="1"/>
        <v>0.588290667105833</v>
      </c>
      <c r="D8" s="189">
        <f t="shared" si="2"/>
        <v>9.2993819237957895E-2</v>
      </c>
      <c r="E8" s="119"/>
      <c r="F8" s="6" t="s">
        <v>11</v>
      </c>
      <c r="G8" s="34">
        <v>3.4860899999999999</v>
      </c>
      <c r="H8" s="6">
        <v>0.202874</v>
      </c>
      <c r="I8" s="9">
        <f t="shared" si="3"/>
        <v>0.55106232587730664</v>
      </c>
      <c r="J8" s="3">
        <v>44.267000000000003</v>
      </c>
      <c r="K8">
        <v>7.3781699999999999</v>
      </c>
    </row>
    <row r="9" spans="1:20" ht="17" thickBot="1" x14ac:dyDescent="0.25">
      <c r="A9" s="183">
        <f>0.16</f>
        <v>0.16</v>
      </c>
      <c r="B9" s="189">
        <f t="shared" si="0"/>
        <v>2.4E-2</v>
      </c>
      <c r="C9" s="188">
        <f t="shared" si="1"/>
        <v>0.48841715107117956</v>
      </c>
      <c r="D9" s="189">
        <f t="shared" si="2"/>
        <v>0.25915031148078665</v>
      </c>
      <c r="E9" s="124" t="s">
        <v>50</v>
      </c>
      <c r="F9" s="54" t="s">
        <v>8</v>
      </c>
      <c r="G9" s="55">
        <v>2.8942600000000001</v>
      </c>
      <c r="H9" s="54">
        <v>1.4768600000000001</v>
      </c>
      <c r="I9" s="9">
        <f t="shared" si="3"/>
        <v>1.5356716668556818</v>
      </c>
      <c r="J9" s="56">
        <v>4.3249199999999997</v>
      </c>
      <c r="K9" s="27">
        <v>1.0812299999999999</v>
      </c>
      <c r="L9" t="s">
        <v>52</v>
      </c>
    </row>
    <row r="10" spans="1:20" ht="36" customHeight="1" thickBot="1" x14ac:dyDescent="0.25">
      <c r="A10" s="183">
        <v>1.36</v>
      </c>
      <c r="B10" s="189">
        <f t="shared" si="0"/>
        <v>0.20400000000000001</v>
      </c>
      <c r="C10" s="188">
        <f t="shared" si="1"/>
        <v>0.83222079899805013</v>
      </c>
      <c r="D10" s="189">
        <f t="shared" si="2"/>
        <v>8.3538889054160168E-2</v>
      </c>
      <c r="E10" s="123"/>
      <c r="F10" s="30" t="s">
        <v>7</v>
      </c>
      <c r="G10" s="41">
        <v>4.9315699999999998</v>
      </c>
      <c r="H10" s="30">
        <v>0.476076</v>
      </c>
      <c r="I10" s="9">
        <f t="shared" si="3"/>
        <v>0.49503434616008668</v>
      </c>
      <c r="J10" s="56">
        <v>4.3249199999999997</v>
      </c>
      <c r="K10" s="27">
        <v>1.0812299999999999</v>
      </c>
    </row>
    <row r="11" spans="1:20" ht="17" thickBot="1" x14ac:dyDescent="0.25">
      <c r="A11" s="153">
        <v>0.03</v>
      </c>
      <c r="B11" s="189">
        <f t="shared" si="0"/>
        <v>4.4999999999999997E-3</v>
      </c>
      <c r="C11" s="188">
        <f t="shared" si="1"/>
        <v>4.8557702590877952E-2</v>
      </c>
      <c r="D11" s="189">
        <f t="shared" si="2"/>
        <v>1.1963210218786179E-2</v>
      </c>
      <c r="E11" s="46" t="s">
        <v>43</v>
      </c>
      <c r="F11" s="9" t="s">
        <v>42</v>
      </c>
      <c r="G11" s="32">
        <v>0.28774300000000003</v>
      </c>
      <c r="H11" s="9">
        <v>3.6374200000000002E-2</v>
      </c>
      <c r="I11" s="9">
        <f t="shared" si="3"/>
        <v>7.0891533460457984E-2</v>
      </c>
      <c r="J11" s="10">
        <v>15.1936</v>
      </c>
      <c r="K11">
        <v>3.7984100000000001</v>
      </c>
      <c r="L11" t="s">
        <v>48</v>
      </c>
    </row>
    <row r="12" spans="1:20" ht="17" thickBot="1" x14ac:dyDescent="0.25">
      <c r="A12" s="153">
        <v>0.03</v>
      </c>
      <c r="B12" s="189">
        <f t="shared" si="0"/>
        <v>4.4999999999999997E-3</v>
      </c>
      <c r="C12" s="188">
        <f t="shared" si="1"/>
        <v>4.7533198736990204E-2</v>
      </c>
      <c r="D12" s="189">
        <f t="shared" si="2"/>
        <v>8.7477873562453821E-3</v>
      </c>
      <c r="E12" s="8" t="s">
        <v>44</v>
      </c>
      <c r="F12" s="9" t="s">
        <v>12</v>
      </c>
      <c r="G12" s="32">
        <v>0.28167199999999998</v>
      </c>
      <c r="H12" s="9">
        <v>2.2748000000000001E-2</v>
      </c>
      <c r="I12" s="9">
        <f t="shared" si="3"/>
        <v>5.1837596157627529E-2</v>
      </c>
      <c r="J12" s="10">
        <v>15.5784</v>
      </c>
      <c r="K12">
        <v>5.1928200000000002</v>
      </c>
      <c r="L12" t="s">
        <v>48</v>
      </c>
    </row>
    <row r="13" spans="1:20" x14ac:dyDescent="0.2">
      <c r="A13" s="183"/>
      <c r="B13" s="183"/>
      <c r="C13" s="183"/>
      <c r="D13" s="183"/>
    </row>
    <row r="14" spans="1:20" x14ac:dyDescent="0.2">
      <c r="A14" s="183"/>
      <c r="B14" s="183"/>
      <c r="C14" s="183"/>
      <c r="D14" s="183"/>
    </row>
  </sheetData>
  <mergeCells count="3">
    <mergeCell ref="E9:E10"/>
    <mergeCell ref="E4:E5"/>
    <mergeCell ref="E7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C075-C5D5-7045-BBDD-7E30C0F6925C}">
  <dimension ref="A2:S21"/>
  <sheetViews>
    <sheetView zoomScale="120" zoomScaleNormal="120" workbookViewId="0">
      <selection activeCell="S3" sqref="S3"/>
    </sheetView>
  </sheetViews>
  <sheetFormatPr baseColWidth="10" defaultRowHeight="16" x14ac:dyDescent="0.2"/>
  <cols>
    <col min="3" max="3" width="9.33203125" customWidth="1"/>
    <col min="4" max="4" width="9.83203125" customWidth="1"/>
    <col min="19" max="19" width="11.6640625" bestFit="1" customWidth="1"/>
  </cols>
  <sheetData>
    <row r="2" spans="1:19" ht="17" thickBot="1" x14ac:dyDescent="0.25">
      <c r="A2" t="s">
        <v>114</v>
      </c>
      <c r="B2" t="s">
        <v>116</v>
      </c>
      <c r="C2" t="s">
        <v>112</v>
      </c>
      <c r="D2" t="s">
        <v>113</v>
      </c>
      <c r="G2" t="s">
        <v>47</v>
      </c>
      <c r="H2" t="s">
        <v>0</v>
      </c>
      <c r="I2" t="s">
        <v>109</v>
      </c>
      <c r="J2" t="s">
        <v>1</v>
      </c>
      <c r="K2" t="s">
        <v>76</v>
      </c>
      <c r="L2" t="s">
        <v>32</v>
      </c>
      <c r="M2" t="s">
        <v>103</v>
      </c>
      <c r="N2" t="s">
        <v>3</v>
      </c>
      <c r="O2" t="s">
        <v>104</v>
      </c>
      <c r="P2" t="s">
        <v>108</v>
      </c>
      <c r="Q2" t="s">
        <v>46</v>
      </c>
      <c r="S2" t="s">
        <v>64</v>
      </c>
    </row>
    <row r="3" spans="1:19" ht="17" thickBot="1" x14ac:dyDescent="0.25">
      <c r="A3" s="132">
        <v>1.22</v>
      </c>
      <c r="B3" s="190">
        <f>A3*0.15</f>
        <v>0.183</v>
      </c>
      <c r="C3" s="186">
        <f>G3*$A$5/$G$5</f>
        <v>1.045608194518147</v>
      </c>
      <c r="D3" s="186">
        <f>I3*$A$5/$G$5</f>
        <v>0.14268404206129237</v>
      </c>
      <c r="E3" s="69" t="s">
        <v>38</v>
      </c>
      <c r="F3" s="2" t="s">
        <v>8</v>
      </c>
      <c r="G3" s="35">
        <f>'18O Option 1'!G3</f>
        <v>6.1960600000000001</v>
      </c>
      <c r="H3" s="2">
        <f>'18O Option 1'!H3</f>
        <v>0.50926499999999997</v>
      </c>
      <c r="I3" s="2">
        <f>H3*SQRT(K3)</f>
        <v>0.84551640881286871</v>
      </c>
      <c r="J3" s="2">
        <f>'18O Option 1'!J3</f>
        <v>8.2694700000000001</v>
      </c>
      <c r="K3" s="3">
        <f>'18O Option 1'!K3</f>
        <v>2.7564899999999999</v>
      </c>
      <c r="P3">
        <f>H3*SQRT(K3)</f>
        <v>0.84551640881286871</v>
      </c>
      <c r="Q3" t="s">
        <v>48</v>
      </c>
      <c r="S3" s="90">
        <f>G3*$S$21/$G$5</f>
        <v>1.5478780585595753</v>
      </c>
    </row>
    <row r="4" spans="1:19" x14ac:dyDescent="0.2">
      <c r="A4" s="132">
        <v>0.21</v>
      </c>
      <c r="B4" s="190">
        <f t="shared" ref="B4:B14" si="0">A4*0.15</f>
        <v>3.15E-2</v>
      </c>
      <c r="C4" s="186">
        <f t="shared" ref="C4:C5" si="1">G4*$A$5/$G$5</f>
        <v>0.12542687982498407</v>
      </c>
      <c r="D4" s="186">
        <f t="shared" ref="D4:D14" si="2">I4*$A$5/$G$5</f>
        <v>1.808558684555622E-2</v>
      </c>
      <c r="E4" s="118" t="s">
        <v>37</v>
      </c>
      <c r="F4" s="2" t="s">
        <v>10</v>
      </c>
      <c r="G4" s="35">
        <f>'18O Option 1'!G4</f>
        <v>0.74325399999999997</v>
      </c>
      <c r="H4" s="2">
        <f>'18O Option 1'!H4</f>
        <v>9.4910800000000003E-2</v>
      </c>
      <c r="I4" s="2">
        <f>H4*SQRT(K4)</f>
        <v>0.10717148336994237</v>
      </c>
      <c r="J4" s="2">
        <f>'18O Option 1'!J4</f>
        <v>10.2004</v>
      </c>
      <c r="K4" s="3">
        <f>'18O Option 1'!K4</f>
        <v>1.27505</v>
      </c>
      <c r="P4">
        <f t="shared" ref="P4:P5" si="3">H4*SQRT(K4)</f>
        <v>0.10717148336994237</v>
      </c>
      <c r="Q4" t="s">
        <v>48</v>
      </c>
      <c r="S4" s="90">
        <f>G4*$S$21/$G$5</f>
        <v>0.18567711715778065</v>
      </c>
    </row>
    <row r="5" spans="1:19" ht="17" thickBot="1" x14ac:dyDescent="0.25">
      <c r="A5" s="132">
        <v>0.83</v>
      </c>
      <c r="B5" s="190">
        <f t="shared" si="0"/>
        <v>0.12449999999999999</v>
      </c>
      <c r="C5" s="186">
        <f t="shared" si="1"/>
        <v>0.83000000000000007</v>
      </c>
      <c r="D5" s="186">
        <f t="shared" si="2"/>
        <v>4.1252740579656055E-2</v>
      </c>
      <c r="E5" s="119"/>
      <c r="F5" s="6" t="s">
        <v>11</v>
      </c>
      <c r="G5" s="34">
        <f>'18O Option 1'!G5</f>
        <v>4.9184099999999997</v>
      </c>
      <c r="H5" s="6">
        <f>'18O Option 1'!H5</f>
        <v>0.21648899999999999</v>
      </c>
      <c r="I5" s="6">
        <f t="shared" ref="I5:I14" si="4">H5*SQRT(K5)</f>
        <v>0.24445529131853752</v>
      </c>
      <c r="J5" s="6">
        <f>'18O Option 1'!J5</f>
        <v>10.2004</v>
      </c>
      <c r="K5" s="7">
        <f>'18O Option 1'!K5</f>
        <v>1.27505</v>
      </c>
      <c r="P5">
        <f t="shared" si="3"/>
        <v>0.24445529131853752</v>
      </c>
      <c r="S5" s="90">
        <f>G5*$S$21/$G$5</f>
        <v>1.2286999999999999</v>
      </c>
    </row>
    <row r="6" spans="1:19" x14ac:dyDescent="0.2">
      <c r="A6" s="132">
        <v>1.57</v>
      </c>
      <c r="B6" s="190">
        <f t="shared" si="0"/>
        <v>0.23549999999999999</v>
      </c>
      <c r="C6" s="186">
        <f t="shared" ref="C6:C14" si="5">G6*$A$5/$G$5</f>
        <v>1.3953267785727503</v>
      </c>
      <c r="D6" s="186">
        <f t="shared" si="2"/>
        <v>0.22309648839777094</v>
      </c>
      <c r="E6" s="87" t="s">
        <v>34</v>
      </c>
      <c r="F6" s="162" t="s">
        <v>12</v>
      </c>
      <c r="G6" s="167">
        <f>L6*N6</f>
        <v>8.2684207000000001</v>
      </c>
      <c r="H6" s="162">
        <f>L6*O6</f>
        <v>0.14492560099999999</v>
      </c>
      <c r="I6" s="162">
        <f>G6*SQRT(POWER((P6/N6),2)+POWER((M6/L6),2))</f>
        <v>1.3220240957837115</v>
      </c>
      <c r="J6" s="162">
        <v>69.820300000000003</v>
      </c>
      <c r="K6" s="162">
        <v>9.9743300000000001</v>
      </c>
      <c r="L6" s="48">
        <v>1.57</v>
      </c>
      <c r="M6" s="48">
        <f>0.15*L6</f>
        <v>0.23549999999999999</v>
      </c>
      <c r="N6" s="48">
        <v>5.2665100000000002</v>
      </c>
      <c r="O6" s="48">
        <v>9.2309299999999997E-2</v>
      </c>
      <c r="P6" s="71">
        <f>O6*SQRT(K6)</f>
        <v>0.29153273301404287</v>
      </c>
      <c r="S6" s="90">
        <f>G6*$S$21/$G$5</f>
        <v>2.0655879672678772</v>
      </c>
    </row>
    <row r="7" spans="1:19" ht="17" thickBot="1" x14ac:dyDescent="0.25">
      <c r="A7" s="132">
        <v>0.28000000000000003</v>
      </c>
      <c r="B7" s="190">
        <f t="shared" si="0"/>
        <v>4.2000000000000003E-2</v>
      </c>
      <c r="C7" s="186">
        <f t="shared" si="5"/>
        <v>0.24884808789832488</v>
      </c>
      <c r="D7" s="186">
        <f t="shared" si="2"/>
        <v>3.9787908758838135E-2</v>
      </c>
      <c r="E7" s="42" t="s">
        <v>35</v>
      </c>
      <c r="F7" s="157" t="s">
        <v>8</v>
      </c>
      <c r="G7" s="168">
        <f>L7*N7</f>
        <v>1.4746228000000001</v>
      </c>
      <c r="H7" s="157">
        <f>L7*O7</f>
        <v>2.5846604000000002E-2</v>
      </c>
      <c r="I7" s="157">
        <f>G7*SQRT(POWER((P7/N7),2)+POWER((M7/L7),2))</f>
        <v>0.23577499797416512</v>
      </c>
      <c r="J7" s="157">
        <v>69.820300000000003</v>
      </c>
      <c r="K7" s="157">
        <v>9.9743300000000001</v>
      </c>
      <c r="L7" s="15">
        <v>0.28000000000000003</v>
      </c>
      <c r="M7" s="15">
        <f>0.15*L7</f>
        <v>4.2000000000000003E-2</v>
      </c>
      <c r="N7" s="15">
        <v>5.2665100000000002</v>
      </c>
      <c r="O7" s="15">
        <v>9.2309299999999997E-2</v>
      </c>
      <c r="P7" s="16">
        <f>O7*SQRT(K7)</f>
        <v>0.29153273301404287</v>
      </c>
      <c r="S7" s="90">
        <f>G7*$S$21/$G$5</f>
        <v>0.36838511518153222</v>
      </c>
    </row>
    <row r="8" spans="1:19" x14ac:dyDescent="0.2">
      <c r="A8" s="132">
        <v>0.35</v>
      </c>
      <c r="B8" s="190">
        <f t="shared" si="0"/>
        <v>5.2499999999999998E-2</v>
      </c>
      <c r="C8" s="186">
        <f t="shared" si="5"/>
        <v>0.21349708544021337</v>
      </c>
      <c r="D8" s="186">
        <f t="shared" si="2"/>
        <v>7.3709224025362258E-2</v>
      </c>
      <c r="E8" s="118" t="s">
        <v>36</v>
      </c>
      <c r="F8" s="2" t="s">
        <v>10</v>
      </c>
      <c r="G8" s="35">
        <f>'18O Option 1'!G7</f>
        <v>1.2651399999999999</v>
      </c>
      <c r="H8" s="2">
        <f>'18O Option 1'!H7</f>
        <v>0.160803</v>
      </c>
      <c r="I8" s="2">
        <f t="shared" si="4"/>
        <v>0.43678576450431567</v>
      </c>
      <c r="J8" s="2">
        <f>'18O Option 1'!J7</f>
        <v>44.267000000000003</v>
      </c>
      <c r="K8" s="3">
        <f>'18O Option 1'!K7</f>
        <v>7.3781699999999999</v>
      </c>
      <c r="P8">
        <f>H8*SQRT(K8)</f>
        <v>0.43678576450431567</v>
      </c>
      <c r="Q8" t="s">
        <v>48</v>
      </c>
      <c r="S8" s="90">
        <f>G8*$S$21/$G$5</f>
        <v>0.31605285407275929</v>
      </c>
    </row>
    <row r="9" spans="1:19" ht="17" thickBot="1" x14ac:dyDescent="0.25">
      <c r="A9" s="132">
        <v>0.66</v>
      </c>
      <c r="B9" s="190">
        <f t="shared" si="0"/>
        <v>9.9000000000000005E-2</v>
      </c>
      <c r="C9" s="186">
        <f t="shared" si="5"/>
        <v>0.588290667105833</v>
      </c>
      <c r="D9" s="186">
        <f t="shared" si="2"/>
        <v>9.2993819237957895E-2</v>
      </c>
      <c r="E9" s="119"/>
      <c r="F9" s="6" t="s">
        <v>11</v>
      </c>
      <c r="G9" s="34">
        <f>'18O Option 1'!G8</f>
        <v>3.4860899999999999</v>
      </c>
      <c r="H9" s="6">
        <f>'18O Option 1'!H8</f>
        <v>0.202874</v>
      </c>
      <c r="I9" s="6">
        <f t="shared" si="4"/>
        <v>0.55106232587730664</v>
      </c>
      <c r="J9" s="6">
        <f>'18O Option 1'!J8</f>
        <v>44.267000000000003</v>
      </c>
      <c r="K9" s="7">
        <f>'18O Option 1'!K8</f>
        <v>7.3781699999999999</v>
      </c>
      <c r="P9">
        <f>H9*SQRT(K9)</f>
        <v>0.55106232587730664</v>
      </c>
      <c r="S9" s="90">
        <f>G9*$S$21/$G$5</f>
        <v>0.87088282249751447</v>
      </c>
    </row>
    <row r="10" spans="1:19" x14ac:dyDescent="0.2">
      <c r="A10" s="132">
        <v>0.35</v>
      </c>
      <c r="B10" s="190">
        <f t="shared" si="0"/>
        <v>5.2499999999999998E-2</v>
      </c>
      <c r="C10" s="186">
        <f t="shared" si="5"/>
        <v>0.26199226477662496</v>
      </c>
      <c r="D10" s="186">
        <f t="shared" si="2"/>
        <v>4.0914960803506338E-2</v>
      </c>
      <c r="E10" s="116" t="s">
        <v>39</v>
      </c>
      <c r="F10" s="132" t="s">
        <v>10</v>
      </c>
      <c r="G10" s="164">
        <f>L10*N10</f>
        <v>1.5525124999999997</v>
      </c>
      <c r="H10" s="132">
        <f>L10*O10</f>
        <v>5.8336249999999992E-2</v>
      </c>
      <c r="I10" s="132">
        <f>G10*SQRT(POWER((P10/N10),2)+POWER((M10/L10),2))</f>
        <v>0.24245367754888389</v>
      </c>
      <c r="J10" s="132">
        <v>6.6882200000000003</v>
      </c>
      <c r="K10" s="132">
        <v>1.3376399999999999</v>
      </c>
      <c r="L10" s="2">
        <v>0.35</v>
      </c>
      <c r="M10" s="2">
        <f>0.15*L10</f>
        <v>5.2499999999999998E-2</v>
      </c>
      <c r="N10" s="2">
        <v>4.4357499999999996</v>
      </c>
      <c r="O10" s="2">
        <v>0.16667499999999999</v>
      </c>
      <c r="P10" s="3">
        <f>O10*SQRT(K10)</f>
        <v>0.19277028408503472</v>
      </c>
      <c r="S10" s="90">
        <f>G10*$S$21/$G$5</f>
        <v>0.38784324786872171</v>
      </c>
    </row>
    <row r="11" spans="1:19" x14ac:dyDescent="0.2">
      <c r="A11" s="153">
        <v>0.16</v>
      </c>
      <c r="B11" s="190">
        <f t="shared" si="0"/>
        <v>2.4E-2</v>
      </c>
      <c r="C11" s="186">
        <f t="shared" si="5"/>
        <v>0.11976789246931425</v>
      </c>
      <c r="D11" s="186">
        <f t="shared" si="2"/>
        <v>1.8703982081602902E-2</v>
      </c>
      <c r="E11" s="24" t="s">
        <v>40</v>
      </c>
      <c r="F11" s="163" t="s">
        <v>8</v>
      </c>
      <c r="G11" s="165">
        <f>L11*N11</f>
        <v>0.70971999999999991</v>
      </c>
      <c r="H11" s="163">
        <f>L11*O11</f>
        <v>2.6667999999999997E-2</v>
      </c>
      <c r="I11" s="163">
        <f>G11*SQRT(POWER((P11/N11),2)+POWER((M11/L11),2))</f>
        <v>0.11083596687948978</v>
      </c>
      <c r="J11" s="163">
        <v>6.6882200000000003</v>
      </c>
      <c r="K11" s="163">
        <v>1.3376399999999999</v>
      </c>
      <c r="L11" s="163">
        <v>0.16</v>
      </c>
      <c r="M11" s="163">
        <f>0.15*L11</f>
        <v>2.4E-2</v>
      </c>
      <c r="N11" s="163">
        <v>4.4357499999999996</v>
      </c>
      <c r="O11" s="163">
        <v>0.16667499999999999</v>
      </c>
      <c r="P11" s="25">
        <f t="shared" ref="P11:P12" si="6">O11*SQRT(K11)</f>
        <v>0.19277028408503472</v>
      </c>
      <c r="S11" s="90">
        <f>G11*$S$21/$G$5</f>
        <v>0.17729977045427281</v>
      </c>
    </row>
    <row r="12" spans="1:19" ht="17" thickBot="1" x14ac:dyDescent="0.25">
      <c r="A12" s="153">
        <v>1.01</v>
      </c>
      <c r="B12" s="190">
        <f t="shared" si="0"/>
        <v>0.1515</v>
      </c>
      <c r="C12" s="186">
        <f t="shared" si="5"/>
        <v>0.75603482121254639</v>
      </c>
      <c r="D12" s="186">
        <f t="shared" si="2"/>
        <v>0.11806888689011831</v>
      </c>
      <c r="E12" s="26" t="s">
        <v>41</v>
      </c>
      <c r="F12" s="161" t="s">
        <v>7</v>
      </c>
      <c r="G12" s="166">
        <f>L12*N12</f>
        <v>4.4801074999999999</v>
      </c>
      <c r="H12" s="161">
        <f>L12*O12</f>
        <v>0.16834174999999998</v>
      </c>
      <c r="I12" s="161">
        <f>G12*SQRT(POWER((P12/N12),2)+POWER((M12/L12),2))</f>
        <v>0.69965204092677924</v>
      </c>
      <c r="J12" s="161">
        <v>6.6882200000000003</v>
      </c>
      <c r="K12" s="161">
        <v>1.3376399999999999</v>
      </c>
      <c r="L12" s="30">
        <v>1.01</v>
      </c>
      <c r="M12" s="30">
        <f>0.15*L12</f>
        <v>0.1515</v>
      </c>
      <c r="N12" s="30">
        <v>4.4357499999999996</v>
      </c>
      <c r="O12" s="30">
        <v>0.16667499999999999</v>
      </c>
      <c r="P12" s="31">
        <f t="shared" si="6"/>
        <v>0.19277028408503472</v>
      </c>
      <c r="S12" s="90">
        <f>G12*$S$21/$G$5</f>
        <v>1.1192048009925972</v>
      </c>
    </row>
    <row r="13" spans="1:19" ht="17" thickBot="1" x14ac:dyDescent="0.25">
      <c r="A13" s="153">
        <v>0.03</v>
      </c>
      <c r="B13" s="190">
        <f t="shared" si="0"/>
        <v>4.4999999999999997E-3</v>
      </c>
      <c r="C13" s="186">
        <f t="shared" si="5"/>
        <v>4.8557702590877952E-2</v>
      </c>
      <c r="D13" s="186">
        <f t="shared" si="2"/>
        <v>1.1963210218786179E-2</v>
      </c>
      <c r="E13" s="1" t="s">
        <v>43</v>
      </c>
      <c r="F13" s="2" t="s">
        <v>42</v>
      </c>
      <c r="G13" s="35">
        <f>'18O Option 1'!G11</f>
        <v>0.28774300000000003</v>
      </c>
      <c r="H13" s="134">
        <f>'18O Option 1'!H11</f>
        <v>3.6374200000000002E-2</v>
      </c>
      <c r="I13" s="2">
        <f t="shared" si="4"/>
        <v>7.0891533460457984E-2</v>
      </c>
      <c r="J13" s="2">
        <f>'18O Option 1'!J11</f>
        <v>15.1936</v>
      </c>
      <c r="K13" s="3">
        <f>'18O Option 1'!K11</f>
        <v>3.7984100000000001</v>
      </c>
      <c r="P13">
        <f>H13*SQRT(K13)</f>
        <v>7.0891533460457984E-2</v>
      </c>
      <c r="Q13" t="s">
        <v>48</v>
      </c>
      <c r="S13" s="90">
        <f>G13*$S$21/$G$5</f>
        <v>7.1882950811339441E-2</v>
      </c>
    </row>
    <row r="14" spans="1:19" ht="17" thickBot="1" x14ac:dyDescent="0.25">
      <c r="A14" s="153">
        <v>0.03</v>
      </c>
      <c r="B14" s="190">
        <f t="shared" si="0"/>
        <v>4.4999999999999997E-3</v>
      </c>
      <c r="C14" s="186">
        <f t="shared" si="5"/>
        <v>4.7533198736990204E-2</v>
      </c>
      <c r="D14" s="186">
        <f t="shared" si="2"/>
        <v>8.7477873562453821E-3</v>
      </c>
      <c r="E14" s="8" t="s">
        <v>44</v>
      </c>
      <c r="F14" s="9" t="s">
        <v>12</v>
      </c>
      <c r="G14" s="32">
        <f>'18O Option 1'!G12</f>
        <v>0.28167199999999998</v>
      </c>
      <c r="H14" s="133">
        <f>'18O Option 1'!H12</f>
        <v>2.2748000000000001E-2</v>
      </c>
      <c r="I14" s="9">
        <f t="shared" si="4"/>
        <v>5.1837596157627529E-2</v>
      </c>
      <c r="J14" s="9">
        <f>'18O Option 1'!J12</f>
        <v>15.5784</v>
      </c>
      <c r="K14" s="10">
        <f>'18O Option 1'!K12</f>
        <v>5.1928200000000002</v>
      </c>
      <c r="P14">
        <f>H14*SQRT(K14)</f>
        <v>5.1837596157627529E-2</v>
      </c>
      <c r="Q14" t="s">
        <v>48</v>
      </c>
      <c r="S14" s="90">
        <f>G14*$S$21/$G$5</f>
        <v>7.0366314804987784E-2</v>
      </c>
    </row>
    <row r="20" spans="19:19" x14ac:dyDescent="0.2">
      <c r="S20" t="s">
        <v>65</v>
      </c>
    </row>
    <row r="21" spans="19:19" x14ac:dyDescent="0.2">
      <c r="S21">
        <v>1.2286999999999999</v>
      </c>
    </row>
  </sheetData>
  <mergeCells count="2">
    <mergeCell ref="E4:E5"/>
    <mergeCell ref="E8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3738-3DB2-7141-B676-7B11F3D775E2}">
  <dimension ref="B2:L18"/>
  <sheetViews>
    <sheetView zoomScale="160" zoomScaleNormal="160" workbookViewId="0">
      <selection activeCell="G8" sqref="G8"/>
    </sheetView>
  </sheetViews>
  <sheetFormatPr baseColWidth="10" defaultRowHeight="16" x14ac:dyDescent="0.2"/>
  <sheetData>
    <row r="2" spans="2:12" ht="17" thickBot="1" x14ac:dyDescent="0.25">
      <c r="D2" t="s">
        <v>47</v>
      </c>
      <c r="E2" t="s">
        <v>0</v>
      </c>
      <c r="F2" t="s">
        <v>78</v>
      </c>
      <c r="G2" t="s">
        <v>1</v>
      </c>
      <c r="H2" t="s">
        <v>76</v>
      </c>
      <c r="I2" t="s">
        <v>33</v>
      </c>
      <c r="J2" t="s">
        <v>3</v>
      </c>
      <c r="K2" t="s">
        <v>0</v>
      </c>
      <c r="L2" t="s">
        <v>46</v>
      </c>
    </row>
    <row r="3" spans="2:12" ht="17" thickBot="1" x14ac:dyDescent="0.25">
      <c r="B3" s="8" t="s">
        <v>38</v>
      </c>
      <c r="C3" s="9" t="s">
        <v>8</v>
      </c>
      <c r="D3" s="32">
        <f>'18O Option 1'!G3</f>
        <v>6.1960600000000001</v>
      </c>
      <c r="E3" s="9">
        <f>'18O Option 1'!H3</f>
        <v>0.50926499999999997</v>
      </c>
      <c r="F3" s="9">
        <f>'18O Option 1'!I3</f>
        <v>0.84551640881286871</v>
      </c>
      <c r="G3" s="10">
        <f>'18O Option 1'!J3</f>
        <v>8.2694700000000001</v>
      </c>
      <c r="H3">
        <f>'18O Option 1'!K3</f>
        <v>2.7564899999999999</v>
      </c>
      <c r="L3" t="s">
        <v>48</v>
      </c>
    </row>
    <row r="4" spans="2:12" ht="17" thickBot="1" x14ac:dyDescent="0.25">
      <c r="B4" s="118" t="s">
        <v>37</v>
      </c>
      <c r="C4" s="2" t="s">
        <v>10</v>
      </c>
      <c r="D4" s="32">
        <f>'18O Option 1'!G4</f>
        <v>0.74325399999999997</v>
      </c>
      <c r="E4" s="9">
        <f>'18O Option 1'!H4</f>
        <v>9.4910800000000003E-2</v>
      </c>
      <c r="F4" s="9">
        <f>'18O Option 1'!I4</f>
        <v>0.10717148336994237</v>
      </c>
      <c r="G4" s="10">
        <f>'18O Option 1'!J4</f>
        <v>10.2004</v>
      </c>
      <c r="H4">
        <f>'18O Option 1'!K4</f>
        <v>1.27505</v>
      </c>
      <c r="L4" t="s">
        <v>48</v>
      </c>
    </row>
    <row r="5" spans="2:12" ht="17" thickBot="1" x14ac:dyDescent="0.25">
      <c r="B5" s="119"/>
      <c r="C5" s="6" t="s">
        <v>11</v>
      </c>
      <c r="D5" s="32">
        <f>'18O Option 1'!G5</f>
        <v>4.9184099999999997</v>
      </c>
      <c r="E5" s="9">
        <f>'18O Option 1'!H5</f>
        <v>0.21648899999999999</v>
      </c>
      <c r="F5" s="9">
        <f>'18O Option 1'!I5</f>
        <v>0.24445529131853752</v>
      </c>
      <c r="G5" s="10">
        <f>'18O Option 1'!J5</f>
        <v>10.2004</v>
      </c>
      <c r="H5">
        <f>'18O Option 1'!K5</f>
        <v>1.27505</v>
      </c>
    </row>
    <row r="6" spans="2:12" x14ac:dyDescent="0.2">
      <c r="B6" s="11" t="s">
        <v>34</v>
      </c>
      <c r="C6" s="48" t="s">
        <v>12</v>
      </c>
      <c r="D6" s="57">
        <f>I6*J6</f>
        <v>8.6018539699999987</v>
      </c>
      <c r="E6" s="48">
        <v>0.13732075073999997</v>
      </c>
      <c r="F6" s="48"/>
      <c r="G6" s="48">
        <v>89.231099999999998</v>
      </c>
      <c r="H6" s="48">
        <v>12.747299999999999</v>
      </c>
      <c r="I6" s="48">
        <v>1.8597999999999999</v>
      </c>
      <c r="J6" s="12">
        <v>4.6251499999999997</v>
      </c>
      <c r="K6" s="13">
        <v>7.3836299999999994E-2</v>
      </c>
    </row>
    <row r="7" spans="2:12" ht="17" thickBot="1" x14ac:dyDescent="0.25">
      <c r="B7" s="137" t="s">
        <v>35</v>
      </c>
      <c r="C7" s="138" t="s">
        <v>8</v>
      </c>
      <c r="D7" s="139">
        <f>I7*J7</f>
        <v>1.5017862049999999</v>
      </c>
      <c r="E7" s="138">
        <v>2.3974646609999997E-2</v>
      </c>
      <c r="F7" s="138"/>
      <c r="G7" s="138">
        <v>89.231099999999998</v>
      </c>
      <c r="H7" s="138">
        <v>12.747299999999999</v>
      </c>
      <c r="I7" s="138">
        <v>0.32469999999999999</v>
      </c>
      <c r="J7" s="138">
        <v>4.6251499999999997</v>
      </c>
      <c r="K7" s="140">
        <v>7.3836299999999994E-2</v>
      </c>
    </row>
    <row r="8" spans="2:12" ht="17" thickBot="1" x14ac:dyDescent="0.25">
      <c r="B8" s="118" t="s">
        <v>36</v>
      </c>
      <c r="C8" s="2" t="s">
        <v>10</v>
      </c>
      <c r="D8" s="35">
        <f>'18O Option 1'!G7</f>
        <v>1.2651399999999999</v>
      </c>
      <c r="E8" s="134">
        <f>'18O Option 1'!H7</f>
        <v>0.160803</v>
      </c>
      <c r="F8" s="134">
        <f>'18O Option 1'!I7</f>
        <v>0.43678576450431567</v>
      </c>
      <c r="G8" s="134">
        <f>'18O Option 1'!J7</f>
        <v>44.267000000000003</v>
      </c>
      <c r="H8" s="134">
        <f>'18O Option 1'!K7</f>
        <v>7.3781699999999999</v>
      </c>
      <c r="L8" t="s">
        <v>48</v>
      </c>
    </row>
    <row r="9" spans="2:12" ht="17" thickBot="1" x14ac:dyDescent="0.25">
      <c r="B9" s="119"/>
      <c r="C9" s="6" t="s">
        <v>11</v>
      </c>
      <c r="D9" s="35">
        <f>'18O Option 1'!G8</f>
        <v>3.4860899999999999</v>
      </c>
      <c r="E9" s="134">
        <f>'18O Option 1'!H8</f>
        <v>0.202874</v>
      </c>
      <c r="F9" s="134">
        <f>'18O Option 1'!I8</f>
        <v>0.55106232587730664</v>
      </c>
      <c r="G9" s="134">
        <f>'18O Option 1'!J8</f>
        <v>44.267000000000003</v>
      </c>
      <c r="H9" s="134">
        <f>'18O Option 1'!K8</f>
        <v>7.3781699999999999</v>
      </c>
    </row>
    <row r="10" spans="2:12" x14ac:dyDescent="0.2">
      <c r="B10" s="141" t="s">
        <v>39</v>
      </c>
      <c r="C10" s="142" t="s">
        <v>10</v>
      </c>
      <c r="D10" s="143">
        <f>I10*J10</f>
        <v>3.4596450000000001E-2</v>
      </c>
      <c r="E10" s="142">
        <f>I10*K10</f>
        <v>1.4321550000000001E-3</v>
      </c>
      <c r="F10" s="142"/>
      <c r="G10" s="142">
        <v>45.520400000000002</v>
      </c>
      <c r="H10" s="142">
        <v>9.1040899999999993</v>
      </c>
      <c r="I10" s="142">
        <v>1.4999999999999999E-2</v>
      </c>
      <c r="J10" s="142">
        <v>2.3064300000000002</v>
      </c>
      <c r="K10" s="144">
        <v>9.5477000000000006E-2</v>
      </c>
    </row>
    <row r="11" spans="2:12" x14ac:dyDescent="0.2">
      <c r="B11" s="145"/>
      <c r="C11" s="146" t="s">
        <v>18</v>
      </c>
      <c r="D11" s="147">
        <f>I11*J11</f>
        <v>2.0605645620000002</v>
      </c>
      <c r="E11" s="146">
        <f>I11*K11</f>
        <v>8.52991518E-2</v>
      </c>
      <c r="F11" s="146"/>
      <c r="G11" s="146">
        <v>45.520400000000002</v>
      </c>
      <c r="H11" s="146">
        <v>9.1040899999999993</v>
      </c>
      <c r="I11" s="146">
        <v>0.89339999999999997</v>
      </c>
      <c r="J11" s="146">
        <v>2.3064300000000002</v>
      </c>
      <c r="K11" s="148">
        <v>9.5477000000000006E-2</v>
      </c>
    </row>
    <row r="12" spans="2:12" x14ac:dyDescent="0.2">
      <c r="B12" s="145"/>
      <c r="C12" s="146" t="s">
        <v>11</v>
      </c>
      <c r="D12" s="147">
        <f>I12*J12</f>
        <v>2.3064300000000003E-2</v>
      </c>
      <c r="E12" s="146">
        <f>I12*K12</f>
        <v>9.5477000000000008E-4</v>
      </c>
      <c r="F12" s="146"/>
      <c r="G12" s="146">
        <v>45.520400000000002</v>
      </c>
      <c r="H12" s="146">
        <v>9.1040899999999993</v>
      </c>
      <c r="I12" s="146">
        <v>0.01</v>
      </c>
      <c r="J12" s="146">
        <v>2.3064300000000002</v>
      </c>
      <c r="K12" s="148">
        <v>9.5477000000000006E-2</v>
      </c>
    </row>
    <row r="13" spans="2:12" x14ac:dyDescent="0.2">
      <c r="B13" s="149" t="s">
        <v>40</v>
      </c>
      <c r="C13" s="150" t="s">
        <v>8</v>
      </c>
      <c r="D13" s="151">
        <f>I13*J13</f>
        <v>0.301219758</v>
      </c>
      <c r="E13" s="150">
        <f>I13*K13</f>
        <v>1.24692962E-2</v>
      </c>
      <c r="F13" s="150"/>
      <c r="G13" s="150">
        <v>45.520400000000002</v>
      </c>
      <c r="H13" s="150">
        <v>9.1040899999999993</v>
      </c>
      <c r="I13" s="150">
        <v>0.13059999999999999</v>
      </c>
      <c r="J13" s="150">
        <v>2.3064300000000002</v>
      </c>
      <c r="K13" s="152">
        <v>9.5477000000000006E-2</v>
      </c>
    </row>
    <row r="14" spans="2:12" ht="17" thickBot="1" x14ac:dyDescent="0.25">
      <c r="B14" s="29" t="s">
        <v>41</v>
      </c>
      <c r="C14" s="30" t="s">
        <v>7</v>
      </c>
      <c r="D14" s="41">
        <f>I14*J14</f>
        <v>2.2833657000000001</v>
      </c>
      <c r="E14" s="30">
        <f>I14*K14</f>
        <v>9.4522229999999999E-2</v>
      </c>
      <c r="F14" s="30"/>
      <c r="G14" s="30">
        <v>45.520400000000002</v>
      </c>
      <c r="H14" s="30">
        <v>9.1040899999999993</v>
      </c>
      <c r="I14" s="30">
        <v>0.99</v>
      </c>
      <c r="J14" s="30">
        <v>2.3064300000000002</v>
      </c>
      <c r="K14" s="31">
        <v>9.5477000000000006E-2</v>
      </c>
    </row>
    <row r="15" spans="2:12" ht="17" thickBot="1" x14ac:dyDescent="0.25">
      <c r="B15" s="5" t="s">
        <v>43</v>
      </c>
      <c r="C15" s="6" t="s">
        <v>42</v>
      </c>
      <c r="D15" s="34">
        <f>'18O Option 1'!G11</f>
        <v>0.28774300000000003</v>
      </c>
      <c r="E15" s="135">
        <f>'18O Option 1'!H11</f>
        <v>3.6374200000000002E-2</v>
      </c>
      <c r="F15" s="135">
        <f>'18O Option 1'!I11</f>
        <v>7.0891533460457984E-2</v>
      </c>
      <c r="G15" s="135">
        <f>'18O Option 1'!J11</f>
        <v>15.1936</v>
      </c>
      <c r="H15" s="135">
        <f>'18O Option 1'!K11</f>
        <v>3.7984100000000001</v>
      </c>
      <c r="L15" t="s">
        <v>48</v>
      </c>
    </row>
    <row r="16" spans="2:12" ht="17" thickBot="1" x14ac:dyDescent="0.25">
      <c r="B16" s="8" t="s">
        <v>44</v>
      </c>
      <c r="C16" s="9" t="s">
        <v>12</v>
      </c>
      <c r="D16" s="34">
        <f>'18O Option 1'!G12</f>
        <v>0.28167199999999998</v>
      </c>
      <c r="E16" s="135">
        <f>'18O Option 1'!H12</f>
        <v>2.2748000000000001E-2</v>
      </c>
      <c r="F16" s="135">
        <f>'18O Option 1'!I12</f>
        <v>5.1837596157627529E-2</v>
      </c>
      <c r="G16" s="135">
        <f>'18O Option 1'!J12</f>
        <v>15.5784</v>
      </c>
      <c r="H16" s="135">
        <f>'18O Option 1'!K12</f>
        <v>5.1928200000000002</v>
      </c>
      <c r="L16" t="s">
        <v>48</v>
      </c>
    </row>
    <row r="18" spans="2:2" x14ac:dyDescent="0.2">
      <c r="B18" t="s">
        <v>94</v>
      </c>
    </row>
  </sheetData>
  <mergeCells count="3">
    <mergeCell ref="B4:B5"/>
    <mergeCell ref="B8:B9"/>
    <mergeCell ref="B10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53C9-71CE-6148-AA2F-0D73ACAD915E}">
  <dimension ref="A2:Q28"/>
  <sheetViews>
    <sheetView zoomScale="120" zoomScaleNormal="120" workbookViewId="0">
      <selection activeCell="D15" sqref="D15"/>
    </sheetView>
  </sheetViews>
  <sheetFormatPr baseColWidth="10" defaultRowHeight="16" x14ac:dyDescent="0.2"/>
  <cols>
    <col min="3" max="3" width="13.1640625" customWidth="1"/>
    <col min="4" max="4" width="13.6640625" customWidth="1"/>
  </cols>
  <sheetData>
    <row r="2" spans="1:17" ht="17" thickBot="1" x14ac:dyDescent="0.25">
      <c r="A2" s="183" t="s">
        <v>114</v>
      </c>
      <c r="B2" s="183" t="s">
        <v>116</v>
      </c>
      <c r="C2" s="183" t="s">
        <v>112</v>
      </c>
      <c r="D2" s="183" t="s">
        <v>113</v>
      </c>
      <c r="G2" t="s">
        <v>47</v>
      </c>
      <c r="H2" t="s">
        <v>54</v>
      </c>
      <c r="I2" t="s">
        <v>111</v>
      </c>
      <c r="J2" t="s">
        <v>109</v>
      </c>
      <c r="K2" t="s">
        <v>1</v>
      </c>
      <c r="L2" t="s">
        <v>76</v>
      </c>
      <c r="M2" t="s">
        <v>108</v>
      </c>
      <c r="N2" t="s">
        <v>46</v>
      </c>
    </row>
    <row r="3" spans="1:17" ht="17" thickBot="1" x14ac:dyDescent="0.25">
      <c r="C3" s="185">
        <f>H3*A$7/H$7</f>
        <v>0.93727303916393978</v>
      </c>
      <c r="D3" s="184">
        <f>J3*A$7/H$7</f>
        <v>0.16236840629611016</v>
      </c>
      <c r="E3" s="8" t="s">
        <v>4</v>
      </c>
      <c r="F3" s="9" t="s">
        <v>20</v>
      </c>
      <c r="G3" s="9">
        <v>2.2913000000000001</v>
      </c>
      <c r="H3" s="32">
        <f t="shared" ref="H3:H17" si="0">G3*$G$23</f>
        <v>7.4353114331521173</v>
      </c>
      <c r="I3" s="9">
        <v>0.19059799999999999</v>
      </c>
      <c r="J3" s="178">
        <f>H3*SQRT(POWER(($H$23/$G$23),2)+POWER((M3/G3),2))</f>
        <v>1.2880554729207276</v>
      </c>
      <c r="K3" s="10">
        <v>2.3610099999999998</v>
      </c>
      <c r="L3">
        <v>0.78700300000000001</v>
      </c>
      <c r="M3">
        <f>I3</f>
        <v>0.19059799999999999</v>
      </c>
      <c r="N3" t="s">
        <v>48</v>
      </c>
      <c r="Q3">
        <f>J3/H3</f>
        <v>0.17323490542408537</v>
      </c>
    </row>
    <row r="4" spans="1:17" ht="35" thickBot="1" x14ac:dyDescent="0.25">
      <c r="A4">
        <v>0.10199999999999999</v>
      </c>
      <c r="B4">
        <f>0.2*A4</f>
        <v>2.0400000000000001E-2</v>
      </c>
      <c r="C4" s="185">
        <f>H4*A$7/H$7</f>
        <v>3.1968034149688587E-2</v>
      </c>
      <c r="D4" s="184">
        <f>J4*A$7/H$7</f>
        <v>0.11706195743194826</v>
      </c>
      <c r="E4" s="47" t="s">
        <v>53</v>
      </c>
      <c r="F4" s="54" t="s">
        <v>7</v>
      </c>
      <c r="G4" s="63">
        <v>7.8150499999999998E-2</v>
      </c>
      <c r="H4" s="89">
        <f t="shared" si="0"/>
        <v>0.25359983684220944</v>
      </c>
      <c r="I4" s="54">
        <v>0.100659</v>
      </c>
      <c r="J4" s="179">
        <f>H4*SQRT(POWER(($H$23/$G$23),2)+POWER((M4/G4),2))</f>
        <v>0.9286430678272074</v>
      </c>
      <c r="K4" s="56">
        <v>80.688100000000006</v>
      </c>
      <c r="L4" s="27">
        <v>8.0688099999999991</v>
      </c>
      <c r="M4" s="27">
        <f>I4*SQRT(L4)</f>
        <v>0.28592844085343383</v>
      </c>
      <c r="Q4">
        <f t="shared" ref="Q4:Q20" si="1">J4/H4</f>
        <v>3.6618441060157774</v>
      </c>
    </row>
    <row r="5" spans="1:17" ht="17" thickBot="1" x14ac:dyDescent="0.25">
      <c r="A5">
        <f>0.306+0.96+0.89</f>
        <v>2.1560000000000001</v>
      </c>
      <c r="B5">
        <f t="shared" ref="B5:B15" si="2">0.2*A5</f>
        <v>0.43120000000000003</v>
      </c>
      <c r="C5" s="185">
        <f t="shared" ref="C5:C15" si="3">H5*A$7/H$7</f>
        <v>1.8565557373588095</v>
      </c>
      <c r="D5" s="184">
        <f t="shared" ref="D5:D15" si="4">J5*A$7/H$7</f>
        <v>0.56335248394980864</v>
      </c>
      <c r="E5" s="59" t="s">
        <v>17</v>
      </c>
      <c r="F5" s="30" t="s">
        <v>9</v>
      </c>
      <c r="G5" s="30">
        <v>4.5386199999999999</v>
      </c>
      <c r="H5" s="41">
        <f t="shared" si="0"/>
        <v>14.72790694223055</v>
      </c>
      <c r="I5" s="30">
        <v>0.41965799999999998</v>
      </c>
      <c r="J5" s="179">
        <f>H5*SQRT(POWER(($H$23/$G$23),2)+POWER((M5/G5),2))</f>
        <v>4.4690298235219004</v>
      </c>
      <c r="K5" s="31">
        <v>80.688100000000006</v>
      </c>
      <c r="L5" s="27">
        <v>8.0688099999999991</v>
      </c>
      <c r="M5" s="27">
        <f t="shared" ref="M5:M20" si="5">I5*SQRT(L5)</f>
        <v>1.1920658622842499</v>
      </c>
      <c r="Q5">
        <f t="shared" si="1"/>
        <v>0.30343957502253632</v>
      </c>
    </row>
    <row r="6" spans="1:17" ht="17" thickBot="1" x14ac:dyDescent="0.25">
      <c r="A6">
        <v>0.21</v>
      </c>
      <c r="B6">
        <f t="shared" si="2"/>
        <v>4.2000000000000003E-2</v>
      </c>
      <c r="C6" s="185">
        <f t="shared" si="3"/>
        <v>6.3662408951757635E-2</v>
      </c>
      <c r="D6" s="184">
        <f t="shared" si="4"/>
        <v>3.9924694264318557E-2</v>
      </c>
      <c r="E6" s="118" t="s">
        <v>19</v>
      </c>
      <c r="F6" s="2" t="s">
        <v>10</v>
      </c>
      <c r="G6" s="2">
        <v>0.15563199999999999</v>
      </c>
      <c r="H6" s="35">
        <f t="shared" si="0"/>
        <v>0.50502875614905518</v>
      </c>
      <c r="I6" s="2">
        <v>5.4237800000000003E-2</v>
      </c>
      <c r="J6" s="180">
        <f>H6*SQRT(POWER(($H$23/$G$23),2)+POWER((M6/G6),2))</f>
        <v>0.31671937986543069</v>
      </c>
      <c r="K6" s="3">
        <v>24.385100000000001</v>
      </c>
      <c r="L6">
        <v>3.04813</v>
      </c>
      <c r="M6" s="155">
        <f t="shared" si="5"/>
        <v>9.4693203252016286E-2</v>
      </c>
      <c r="N6" t="s">
        <v>48</v>
      </c>
      <c r="Q6">
        <f t="shared" si="1"/>
        <v>0.62713137818226239</v>
      </c>
    </row>
    <row r="7" spans="1:17" ht="17" thickBot="1" x14ac:dyDescent="0.25">
      <c r="A7">
        <v>0.62</v>
      </c>
      <c r="B7">
        <f t="shared" si="2"/>
        <v>0.124</v>
      </c>
      <c r="C7" s="185">
        <f t="shared" si="3"/>
        <v>0.62</v>
      </c>
      <c r="D7" s="184">
        <f>O7*A$7/H$7</f>
        <v>0.12962512526033068</v>
      </c>
      <c r="E7" s="119"/>
      <c r="F7" s="6" t="s">
        <v>11</v>
      </c>
      <c r="G7" s="6">
        <v>1.5156799999999999</v>
      </c>
      <c r="H7" s="34">
        <f t="shared" si="0"/>
        <v>4.9184099999999997</v>
      </c>
      <c r="I7" s="6">
        <v>0.124664</v>
      </c>
      <c r="J7" s="180">
        <f t="shared" ref="J7" si="6">I7*SQRT(L7)</f>
        <v>0.21764956340798039</v>
      </c>
      <c r="K7" s="7">
        <v>24.385100000000001</v>
      </c>
      <c r="L7">
        <v>3.04813</v>
      </c>
      <c r="M7" s="155">
        <f t="shared" si="5"/>
        <v>0.21764956340798039</v>
      </c>
      <c r="O7">
        <f>H7*SQRT(POWER(($H$23/$G$23),2)+POWER((M7/G7),2))</f>
        <v>1.0283056650510694</v>
      </c>
      <c r="Q7">
        <f>O7/H7</f>
        <v>0.20907278267795271</v>
      </c>
    </row>
    <row r="8" spans="1:17" ht="17" thickBot="1" x14ac:dyDescent="0.25">
      <c r="C8" s="185">
        <f t="shared" si="3"/>
        <v>0.28447523223899501</v>
      </c>
      <c r="D8" s="184">
        <f t="shared" si="4"/>
        <v>6.250543024555423E-2</v>
      </c>
      <c r="E8" s="125" t="s">
        <v>55</v>
      </c>
      <c r="F8" s="17" t="s">
        <v>10</v>
      </c>
      <c r="G8" s="17">
        <v>0.69544099999999998</v>
      </c>
      <c r="H8" s="37">
        <f t="shared" si="0"/>
        <v>2.2567190758009605</v>
      </c>
      <c r="I8" s="17">
        <v>0.11036899999999999</v>
      </c>
      <c r="J8" s="181">
        <f>H8*SQRT(POWER(($H$23/$G$23),2)+POWER((M8/G8),2))</f>
        <v>0.49585053737747803</v>
      </c>
      <c r="K8" s="18">
        <v>3.2037599999999999</v>
      </c>
      <c r="L8" s="19">
        <v>0.457679</v>
      </c>
      <c r="M8" s="155">
        <f>I8</f>
        <v>0.11036899999999999</v>
      </c>
      <c r="Q8">
        <f t="shared" si="1"/>
        <v>0.21972187087641357</v>
      </c>
    </row>
    <row r="9" spans="1:17" ht="17" thickBot="1" x14ac:dyDescent="0.25">
      <c r="C9" s="185">
        <f t="shared" si="3"/>
        <v>0.56663438192758364</v>
      </c>
      <c r="D9" s="184">
        <f t="shared" si="4"/>
        <v>0.12048061901042045</v>
      </c>
      <c r="E9" s="120"/>
      <c r="F9" s="19" t="s">
        <v>11</v>
      </c>
      <c r="G9" s="19">
        <v>1.3852199999999999</v>
      </c>
      <c r="H9" s="38">
        <f t="shared" si="0"/>
        <v>4.4950648555103978</v>
      </c>
      <c r="I9" s="19">
        <v>0.206014</v>
      </c>
      <c r="J9" s="181">
        <f>H9*SQRT(POWER(($H$23/$G$23),2)+POWER((M9/G9),2))</f>
        <v>0.95576303443071298</v>
      </c>
      <c r="K9" s="20">
        <v>3.2037599999999999</v>
      </c>
      <c r="L9" s="19">
        <v>0.457679</v>
      </c>
      <c r="M9" s="155">
        <f>I9</f>
        <v>0.206014</v>
      </c>
      <c r="Q9">
        <f t="shared" si="1"/>
        <v>0.21262497097434863</v>
      </c>
    </row>
    <row r="10" spans="1:17" ht="17" thickBot="1" x14ac:dyDescent="0.25">
      <c r="A10">
        <v>0.17</v>
      </c>
      <c r="B10">
        <f t="shared" si="2"/>
        <v>3.4000000000000002E-2</v>
      </c>
      <c r="C10" s="185">
        <f t="shared" si="3"/>
        <v>0.14737312625356278</v>
      </c>
      <c r="D10" s="184">
        <f t="shared" si="4"/>
        <v>4.9414499209281496E-2</v>
      </c>
      <c r="E10" s="118" t="s">
        <v>23</v>
      </c>
      <c r="F10" s="2" t="s">
        <v>7</v>
      </c>
      <c r="G10" s="2">
        <v>0.36027500000000001</v>
      </c>
      <c r="H10" s="35">
        <f t="shared" si="0"/>
        <v>1.169099125639977</v>
      </c>
      <c r="I10" s="2">
        <v>6.9371299999999997E-2</v>
      </c>
      <c r="J10" s="181">
        <f t="shared" ref="J10:J17" si="7">H10*SQRT(POWER(($H$23/$G$23),2)+POWER((M10/G10),2))</f>
        <v>0.39200123718697127</v>
      </c>
      <c r="K10" s="3">
        <v>14.4574</v>
      </c>
      <c r="L10">
        <v>2.4095599999999999</v>
      </c>
      <c r="M10" s="155">
        <f t="shared" si="5"/>
        <v>0.10768338664574435</v>
      </c>
      <c r="N10" t="s">
        <v>48</v>
      </c>
      <c r="Q10">
        <f t="shared" si="1"/>
        <v>0.33530196763459708</v>
      </c>
    </row>
    <row r="11" spans="1:17" ht="17" thickBot="1" x14ac:dyDescent="0.25">
      <c r="A11">
        <v>0.68</v>
      </c>
      <c r="B11">
        <f t="shared" si="2"/>
        <v>0.13600000000000001</v>
      </c>
      <c r="C11" s="185">
        <f t="shared" si="3"/>
        <v>0.77927055842921999</v>
      </c>
      <c r="D11" s="184">
        <f t="shared" si="4"/>
        <v>0.1398217521058201</v>
      </c>
      <c r="E11" s="119"/>
      <c r="F11" s="6" t="s">
        <v>6</v>
      </c>
      <c r="G11" s="6">
        <v>1.9050400000000001</v>
      </c>
      <c r="H11" s="34">
        <f t="shared" si="0"/>
        <v>6.181890495619129</v>
      </c>
      <c r="I11" s="6">
        <v>0.117092</v>
      </c>
      <c r="J11" s="181">
        <f t="shared" si="7"/>
        <v>1.1091946835077204</v>
      </c>
      <c r="K11" s="7">
        <v>14.4574</v>
      </c>
      <c r="L11">
        <v>2.4095599999999999</v>
      </c>
      <c r="M11" s="155">
        <f t="shared" si="5"/>
        <v>0.18175907196669946</v>
      </c>
      <c r="Q11">
        <f t="shared" si="1"/>
        <v>0.17942645284541428</v>
      </c>
    </row>
    <row r="12" spans="1:17" ht="17" thickBot="1" x14ac:dyDescent="0.25">
      <c r="A12">
        <v>7.3999999999999996E-2</v>
      </c>
      <c r="B12">
        <f t="shared" si="2"/>
        <v>1.4800000000000001E-2</v>
      </c>
      <c r="C12" s="185">
        <f t="shared" si="3"/>
        <v>0.17371969017206801</v>
      </c>
      <c r="D12" s="184">
        <f t="shared" si="4"/>
        <v>5.8351435999446651E-2</v>
      </c>
      <c r="E12" s="46" t="s">
        <v>24</v>
      </c>
      <c r="F12" s="9" t="s">
        <v>5</v>
      </c>
      <c r="G12" s="9">
        <v>0.42468299999999998</v>
      </c>
      <c r="H12" s="32">
        <f t="shared" si="0"/>
        <v>1.3781042924825821</v>
      </c>
      <c r="I12" s="9">
        <v>8.5518999999999998E-2</v>
      </c>
      <c r="J12" s="181">
        <f t="shared" si="7"/>
        <v>0.46289723602264254</v>
      </c>
      <c r="K12" s="10">
        <v>11.064500000000001</v>
      </c>
      <c r="L12">
        <v>2.2128999999999999</v>
      </c>
      <c r="M12" s="155">
        <f t="shared" si="5"/>
        <v>0.12721651911586365</v>
      </c>
      <c r="N12" t="s">
        <v>48</v>
      </c>
      <c r="Q12">
        <f t="shared" si="1"/>
        <v>0.33589419795562614</v>
      </c>
    </row>
    <row r="13" spans="1:17" ht="35" thickBot="1" x14ac:dyDescent="0.25">
      <c r="A13">
        <v>1.22</v>
      </c>
      <c r="B13">
        <f t="shared" si="2"/>
        <v>0.24399999999999999</v>
      </c>
      <c r="C13" s="185">
        <f t="shared" si="3"/>
        <v>0.90132099123825615</v>
      </c>
      <c r="D13" s="184">
        <f t="shared" si="4"/>
        <v>0.1598991881359931</v>
      </c>
      <c r="E13" s="61" t="s">
        <v>56</v>
      </c>
      <c r="F13" s="52" t="s">
        <v>12</v>
      </c>
      <c r="G13" s="52">
        <v>2.2034099999999999</v>
      </c>
      <c r="H13" s="51">
        <f t="shared" si="0"/>
        <v>7.1501067363163733</v>
      </c>
      <c r="I13" s="52">
        <v>7.1556900000000007E-2</v>
      </c>
      <c r="J13" s="181">
        <f t="shared" si="7"/>
        <v>1.2684673643870159</v>
      </c>
      <c r="K13" s="53">
        <v>55.631799999999998</v>
      </c>
      <c r="L13" s="68">
        <v>7.9474</v>
      </c>
      <c r="M13" s="155">
        <f t="shared" si="5"/>
        <v>0.20172701105742313</v>
      </c>
      <c r="Q13">
        <f t="shared" si="1"/>
        <v>0.1774053746560588</v>
      </c>
    </row>
    <row r="14" spans="1:17" ht="17" thickBot="1" x14ac:dyDescent="0.25">
      <c r="A14">
        <v>0.17</v>
      </c>
      <c r="B14">
        <f t="shared" si="2"/>
        <v>3.4000000000000002E-2</v>
      </c>
      <c r="C14" s="185">
        <f t="shared" si="3"/>
        <v>0.15681294204581445</v>
      </c>
      <c r="D14" s="184">
        <f t="shared" si="4"/>
        <v>6.2524695841850123E-2</v>
      </c>
      <c r="E14" s="118" t="s">
        <v>28</v>
      </c>
      <c r="F14" s="2" t="s">
        <v>10</v>
      </c>
      <c r="G14" s="2">
        <v>0.38335200000000003</v>
      </c>
      <c r="H14" s="35">
        <f t="shared" si="0"/>
        <v>1.2439844230444423</v>
      </c>
      <c r="I14" s="2">
        <v>9.3142699999999995E-2</v>
      </c>
      <c r="J14" s="181">
        <f t="shared" si="7"/>
        <v>0.49600336979921622</v>
      </c>
      <c r="K14" s="3">
        <v>13.811199999999999</v>
      </c>
      <c r="L14">
        <v>2.30186</v>
      </c>
      <c r="M14" s="155">
        <f t="shared" si="5"/>
        <v>0.14131500430575206</v>
      </c>
      <c r="N14" t="s">
        <v>48</v>
      </c>
      <c r="Q14">
        <f t="shared" si="1"/>
        <v>0.39872152786715087</v>
      </c>
    </row>
    <row r="15" spans="1:17" ht="17" thickBot="1" x14ac:dyDescent="0.25">
      <c r="A15">
        <v>0.51</v>
      </c>
      <c r="B15">
        <f t="shared" si="2"/>
        <v>0.10200000000000001</v>
      </c>
      <c r="C15" s="185">
        <f t="shared" si="3"/>
        <v>0.47113995038530559</v>
      </c>
      <c r="D15" s="184">
        <f t="shared" si="4"/>
        <v>0.10209210505229416</v>
      </c>
      <c r="E15" s="119"/>
      <c r="F15" s="6" t="s">
        <v>11</v>
      </c>
      <c r="G15" s="6">
        <v>1.15177</v>
      </c>
      <c r="H15" s="34">
        <f t="shared" si="0"/>
        <v>3.7375152312493403</v>
      </c>
      <c r="I15" s="6">
        <v>0.117274</v>
      </c>
      <c r="J15" s="181">
        <f t="shared" si="7"/>
        <v>0.80988843614557104</v>
      </c>
      <c r="K15" s="7">
        <v>13.811199999999999</v>
      </c>
      <c r="L15">
        <v>2.30186</v>
      </c>
      <c r="M15" s="155">
        <f t="shared" si="5"/>
        <v>0.1779267276442788</v>
      </c>
      <c r="Q15">
        <f t="shared" si="1"/>
        <v>0.21669167509314721</v>
      </c>
    </row>
    <row r="16" spans="1:17" ht="17" thickBot="1" x14ac:dyDescent="0.25">
      <c r="E16" s="42" t="s">
        <v>29</v>
      </c>
      <c r="F16" s="43" t="s">
        <v>8</v>
      </c>
      <c r="G16" s="43">
        <v>0</v>
      </c>
      <c r="H16" s="44">
        <f t="shared" si="0"/>
        <v>0</v>
      </c>
      <c r="I16" s="43">
        <v>0.76793</v>
      </c>
      <c r="J16" s="181"/>
      <c r="K16" s="45">
        <v>8.1551799999999997</v>
      </c>
      <c r="L16" s="43">
        <v>2.0387900000000001</v>
      </c>
      <c r="M16" s="155">
        <f t="shared" si="5"/>
        <v>1.0964980949592529</v>
      </c>
      <c r="Q16" t="e">
        <f t="shared" si="1"/>
        <v>#DIV/0!</v>
      </c>
    </row>
    <row r="17" spans="5:17" ht="17" thickBot="1" x14ac:dyDescent="0.25">
      <c r="E17" s="64" t="s">
        <v>30</v>
      </c>
      <c r="F17" s="43" t="s">
        <v>7</v>
      </c>
      <c r="G17" s="43">
        <v>2.44</v>
      </c>
      <c r="H17" s="44">
        <f t="shared" si="0"/>
        <v>7.9178457194130694</v>
      </c>
      <c r="I17" s="43">
        <v>0.27806199999999998</v>
      </c>
      <c r="J17" s="181">
        <f t="shared" si="7"/>
        <v>1.7628245835591634</v>
      </c>
      <c r="K17" s="45">
        <v>8.1551799999999997</v>
      </c>
      <c r="L17" s="43">
        <v>2.0387900000000001</v>
      </c>
      <c r="M17" s="155">
        <f t="shared" si="5"/>
        <v>0.39703417405305141</v>
      </c>
      <c r="Q17">
        <f t="shared" si="1"/>
        <v>0.22263942062385086</v>
      </c>
    </row>
    <row r="18" spans="5:17" ht="17" thickBot="1" x14ac:dyDescent="0.25">
      <c r="E18" s="64" t="s">
        <v>83</v>
      </c>
      <c r="F18" s="43" t="s">
        <v>10</v>
      </c>
      <c r="G18" s="43">
        <v>0</v>
      </c>
      <c r="H18" s="44">
        <f t="shared" ref="H18:H19" si="8">G18*$G$23</f>
        <v>0</v>
      </c>
      <c r="I18" s="43"/>
      <c r="J18" s="182"/>
      <c r="K18" s="45"/>
      <c r="L18" s="43"/>
      <c r="M18" s="155">
        <f t="shared" si="5"/>
        <v>0</v>
      </c>
      <c r="Q18" t="e">
        <f t="shared" si="1"/>
        <v>#DIV/0!</v>
      </c>
    </row>
    <row r="19" spans="5:17" ht="17" thickBot="1" x14ac:dyDescent="0.25">
      <c r="E19" s="64" t="s">
        <v>84</v>
      </c>
      <c r="F19" s="43" t="s">
        <v>82</v>
      </c>
      <c r="G19" s="43">
        <v>0.26</v>
      </c>
      <c r="H19" s="44">
        <f t="shared" si="8"/>
        <v>0.84370487174073694</v>
      </c>
      <c r="I19" s="43"/>
      <c r="J19" s="182"/>
      <c r="K19" s="45"/>
      <c r="L19" s="43"/>
      <c r="M19" s="155">
        <f t="shared" si="5"/>
        <v>0</v>
      </c>
      <c r="Q19">
        <f t="shared" si="1"/>
        <v>0</v>
      </c>
    </row>
    <row r="20" spans="5:17" ht="35" thickBot="1" x14ac:dyDescent="0.25">
      <c r="E20" s="65" t="s">
        <v>31</v>
      </c>
      <c r="F20" s="50" t="s">
        <v>13</v>
      </c>
      <c r="G20" s="50">
        <v>0.80409799999999998</v>
      </c>
      <c r="H20" s="66">
        <f>G20*$G$23*G28</f>
        <v>3.6530383074606778</v>
      </c>
      <c r="I20" s="50">
        <v>0.103809</v>
      </c>
      <c r="J20" s="182">
        <f>H20*SQRT(POWER((H$23/G$23),2)+POWER((M20/G20),2)+POWER((H28/G28),2))</f>
        <v>0.79755574679409624</v>
      </c>
      <c r="K20" s="67">
        <v>1.25024</v>
      </c>
      <c r="L20" s="14">
        <v>0.25004900000000002</v>
      </c>
      <c r="M20" s="155">
        <f t="shared" si="5"/>
        <v>5.1909586391779013E-2</v>
      </c>
      <c r="Q20">
        <f t="shared" si="1"/>
        <v>0.21832668580705306</v>
      </c>
    </row>
    <row r="22" spans="5:17" x14ac:dyDescent="0.2">
      <c r="G22" t="s">
        <v>61</v>
      </c>
      <c r="H22" t="s">
        <v>106</v>
      </c>
    </row>
    <row r="23" spans="5:17" x14ac:dyDescent="0.2">
      <c r="G23">
        <f>'18O Option 1'!G5/G7</f>
        <v>3.2450187374643726</v>
      </c>
      <c r="H23">
        <f>G23*SQRT(POWER(('18O Option 1'!I5/'18O Option 1'!G5),2)+POWER(('18F norm Option 1'!J7/'18F norm Option 1'!G7),2))</f>
        <v>0.4931026033780847</v>
      </c>
    </row>
    <row r="24" spans="5:17" x14ac:dyDescent="0.2">
      <c r="G24" t="s">
        <v>63</v>
      </c>
    </row>
    <row r="27" spans="5:17" x14ac:dyDescent="0.2">
      <c r="G27" s="183" t="s">
        <v>117</v>
      </c>
      <c r="H27" s="183" t="s">
        <v>118</v>
      </c>
    </row>
    <row r="28" spans="5:17" x14ac:dyDescent="0.2">
      <c r="G28" s="183">
        <v>1.4</v>
      </c>
      <c r="H28" s="183">
        <v>0.2</v>
      </c>
    </row>
  </sheetData>
  <mergeCells count="4">
    <mergeCell ref="E14:E15"/>
    <mergeCell ref="E6:E7"/>
    <mergeCell ref="E8:E9"/>
    <mergeCell ref="E10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CE62-53CE-CB41-9599-014ED0A08C45}">
  <dimension ref="A2:X39"/>
  <sheetViews>
    <sheetView topLeftCell="A12" zoomScale="120" zoomScaleNormal="120" workbookViewId="0">
      <selection activeCell="D18" sqref="D18"/>
    </sheetView>
  </sheetViews>
  <sheetFormatPr baseColWidth="10" defaultRowHeight="16" x14ac:dyDescent="0.2"/>
  <sheetData>
    <row r="2" spans="1:24" ht="17" thickBot="1" x14ac:dyDescent="0.25">
      <c r="A2" t="s">
        <v>121</v>
      </c>
      <c r="B2" s="183" t="s">
        <v>114</v>
      </c>
      <c r="C2" s="183" t="s">
        <v>116</v>
      </c>
      <c r="D2" s="183" t="s">
        <v>112</v>
      </c>
      <c r="E2" s="183" t="s">
        <v>113</v>
      </c>
      <c r="F2" s="132"/>
      <c r="G2" s="132"/>
      <c r="H2" s="132" t="s">
        <v>47</v>
      </c>
      <c r="I2" s="132" t="s">
        <v>54</v>
      </c>
      <c r="J2" s="132" t="s">
        <v>111</v>
      </c>
      <c r="K2" s="132" t="s">
        <v>109</v>
      </c>
      <c r="L2" s="132" t="s">
        <v>1</v>
      </c>
      <c r="M2" s="132" t="s">
        <v>76</v>
      </c>
      <c r="N2" s="132" t="s">
        <v>32</v>
      </c>
      <c r="O2" s="132" t="s">
        <v>103</v>
      </c>
      <c r="P2" s="132" t="s">
        <v>3</v>
      </c>
      <c r="Q2" s="132" t="s">
        <v>104</v>
      </c>
      <c r="R2" s="132" t="s">
        <v>105</v>
      </c>
      <c r="S2" t="s">
        <v>46</v>
      </c>
    </row>
    <row r="3" spans="1:24" ht="17" thickBot="1" x14ac:dyDescent="0.25">
      <c r="A3">
        <f>E3/D3</f>
        <v>0.17323490542408534</v>
      </c>
      <c r="D3" s="90">
        <f>I3*$B$9/$I$9</f>
        <v>0.93727303916393978</v>
      </c>
      <c r="E3" s="90">
        <f>K3*$B$9/$I$9</f>
        <v>0.16236840629611016</v>
      </c>
      <c r="F3" s="69" t="s">
        <v>4</v>
      </c>
      <c r="G3" s="2" t="s">
        <v>20</v>
      </c>
      <c r="H3" s="2">
        <f>'18F norm Option 1'!G3</f>
        <v>2.2913000000000001</v>
      </c>
      <c r="I3" s="35">
        <f>'18F norm Option 1'!H3</f>
        <v>7.4353114331521173</v>
      </c>
      <c r="J3" s="134">
        <f>'18F norm Option 1'!I3</f>
        <v>0.19059799999999999</v>
      </c>
      <c r="K3" s="134">
        <f>'18F norm Option 1'!J3</f>
        <v>1.2880554729207276</v>
      </c>
      <c r="L3" s="134">
        <f>'18F norm Option 1'!K3</f>
        <v>2.3610099999999998</v>
      </c>
      <c r="M3" s="134">
        <f>'18F norm Option 1'!L3</f>
        <v>0.78700300000000001</v>
      </c>
      <c r="N3" s="132"/>
      <c r="O3" s="132"/>
      <c r="P3" s="132"/>
      <c r="Q3" s="132"/>
      <c r="R3" s="132"/>
      <c r="S3" t="s">
        <v>48</v>
      </c>
      <c r="X3">
        <f>K3/I3</f>
        <v>0.17323490542408537</v>
      </c>
    </row>
    <row r="4" spans="1:24" ht="17" customHeight="1" x14ac:dyDescent="0.2">
      <c r="A4">
        <f t="shared" ref="A4:A25" si="0">E4/D4</f>
        <v>0.2819818448039435</v>
      </c>
      <c r="B4">
        <v>0.10199999999999999</v>
      </c>
      <c r="C4">
        <f>0.2*B4</f>
        <v>2.0400000000000001E-2</v>
      </c>
      <c r="D4" s="90">
        <f>I4*$B$9/$I$9</f>
        <v>0.12893044151799851</v>
      </c>
      <c r="E4" s="90">
        <f>K4*$B$9/$I$9</f>
        <v>3.6356043750632172E-2</v>
      </c>
      <c r="F4" s="124" t="s">
        <v>15</v>
      </c>
      <c r="G4" s="54" t="s">
        <v>7</v>
      </c>
      <c r="H4" s="54">
        <f>N4*P4</f>
        <v>0.31518917999999996</v>
      </c>
      <c r="I4" s="55">
        <f>H4*$H$29</f>
        <v>1.0227947949460308</v>
      </c>
      <c r="J4" s="54"/>
      <c r="K4" s="54">
        <f>I4*SQRT(POWER(($I$29/$H$29),2)+POWER((R4/P4),2)+POWER((O4/N4),2))</f>
        <v>0.28840956313475286</v>
      </c>
      <c r="L4" s="54">
        <v>86.371700000000004</v>
      </c>
      <c r="M4" s="54">
        <v>7.8519699999999997</v>
      </c>
      <c r="N4" s="54">
        <v>0.10199999999999999</v>
      </c>
      <c r="O4" s="54">
        <f>0.2*N4</f>
        <v>2.0400000000000001E-2</v>
      </c>
      <c r="P4" s="54">
        <v>3.09009</v>
      </c>
      <c r="Q4" s="54">
        <v>0.141321</v>
      </c>
      <c r="R4" s="56">
        <f>Q4*SQRT(M4)</f>
        <v>0.39600075842500704</v>
      </c>
      <c r="X4">
        <f t="shared" ref="X4:X25" si="1">K4/I4</f>
        <v>0.2819818448039435</v>
      </c>
    </row>
    <row r="5" spans="1:24" x14ac:dyDescent="0.2">
      <c r="A5">
        <f t="shared" si="0"/>
        <v>0.2819818448039435</v>
      </c>
      <c r="B5">
        <v>0.30599999999999999</v>
      </c>
      <c r="C5">
        <f t="shared" ref="C5:C18" si="2">0.2*B5</f>
        <v>6.1200000000000004E-2</v>
      </c>
      <c r="D5" s="90">
        <f t="shared" ref="D5:D25" si="3">I5*$B$9/$I$9</f>
        <v>0.38679132455399562</v>
      </c>
      <c r="E5" s="90">
        <f t="shared" ref="E5:E18" si="4">K5*$B$9/$I$9</f>
        <v>0.10906813125189653</v>
      </c>
      <c r="F5" s="126"/>
      <c r="G5" s="161" t="s">
        <v>58</v>
      </c>
      <c r="H5" s="161">
        <f>N5*P5</f>
        <v>0.94556753999999998</v>
      </c>
      <c r="I5" s="166">
        <f>H5*$H$29</f>
        <v>3.0683843848380925</v>
      </c>
      <c r="J5" s="161"/>
      <c r="K5" s="161">
        <f>I5*SQRT(POWER(($I$29/$H$29),2)+POWER((R5/P5),2)+POWER((O5/N5),2))</f>
        <v>0.86522868940425868</v>
      </c>
      <c r="L5" s="161">
        <v>86.371700000000004</v>
      </c>
      <c r="M5" s="161">
        <v>7.8519699999999997</v>
      </c>
      <c r="N5" s="161">
        <v>0.30599999999999999</v>
      </c>
      <c r="O5" s="161">
        <f t="shared" ref="O5:O7" si="5">0.2*N5</f>
        <v>6.1200000000000004E-2</v>
      </c>
      <c r="P5" s="161">
        <v>3.09009</v>
      </c>
      <c r="Q5" s="161">
        <v>0.141321</v>
      </c>
      <c r="R5" s="28">
        <f t="shared" ref="R5:R7" si="6">Q5*SQRT(M5)</f>
        <v>0.39600075842500704</v>
      </c>
      <c r="X5">
        <f t="shared" si="1"/>
        <v>0.2819818448039435</v>
      </c>
    </row>
    <row r="6" spans="1:24" ht="17" x14ac:dyDescent="0.2">
      <c r="A6">
        <f t="shared" si="0"/>
        <v>0.2819818448039435</v>
      </c>
      <c r="B6">
        <v>0.96</v>
      </c>
      <c r="C6">
        <f t="shared" si="2"/>
        <v>0.192</v>
      </c>
      <c r="D6" s="90">
        <f t="shared" si="3"/>
        <v>1.2134629789929272</v>
      </c>
      <c r="E6" s="90">
        <f t="shared" si="4"/>
        <v>0.34217452941771459</v>
      </c>
      <c r="F6" s="62" t="s">
        <v>16</v>
      </c>
      <c r="G6" s="161" t="s">
        <v>8</v>
      </c>
      <c r="H6" s="161">
        <f>N6*P6</f>
        <v>2.9664864</v>
      </c>
      <c r="I6" s="166">
        <f>H6*$H$29</f>
        <v>9.626303952433231</v>
      </c>
      <c r="J6" s="161"/>
      <c r="K6" s="161">
        <f>I6*SQRT(POWER(($I$29/$H$29),2)+POWER((R6/P6),2)+POWER((O6/N6),2))</f>
        <v>2.7144429471506153</v>
      </c>
      <c r="L6" s="161">
        <v>86.371700000000004</v>
      </c>
      <c r="M6" s="161">
        <v>7.8519699999999997</v>
      </c>
      <c r="N6" s="161">
        <v>0.96</v>
      </c>
      <c r="O6" s="161">
        <f t="shared" si="5"/>
        <v>0.192</v>
      </c>
      <c r="P6" s="161">
        <v>3.09009</v>
      </c>
      <c r="Q6" s="161">
        <v>0.141321</v>
      </c>
      <c r="R6" s="28">
        <f t="shared" si="6"/>
        <v>0.39600075842500704</v>
      </c>
      <c r="X6">
        <f t="shared" si="1"/>
        <v>0.2819818448039435</v>
      </c>
    </row>
    <row r="7" spans="1:24" ht="17" thickBot="1" x14ac:dyDescent="0.25">
      <c r="A7">
        <f t="shared" si="0"/>
        <v>0.2819818448039435</v>
      </c>
      <c r="B7">
        <v>0.89</v>
      </c>
      <c r="C7">
        <f t="shared" si="2"/>
        <v>0.17800000000000002</v>
      </c>
      <c r="D7" s="90">
        <f t="shared" si="3"/>
        <v>1.12498130344136</v>
      </c>
      <c r="E7" s="90">
        <f t="shared" si="4"/>
        <v>0.31722430331433965</v>
      </c>
      <c r="F7" s="59" t="s">
        <v>17</v>
      </c>
      <c r="G7" s="30" t="s">
        <v>9</v>
      </c>
      <c r="H7" s="30">
        <f>N7*P7</f>
        <v>2.7501801000000001</v>
      </c>
      <c r="I7" s="41">
        <f>H7*$H$29</f>
        <v>8.9243859559016432</v>
      </c>
      <c r="J7" s="30"/>
      <c r="K7" s="30">
        <f>I7*SQRT(POWER(($I$29/$H$29),2)+POWER((R7/P7),2)+POWER((O7/N7),2))</f>
        <v>2.5165148155875503</v>
      </c>
      <c r="L7" s="30">
        <v>86.371700000000004</v>
      </c>
      <c r="M7" s="30">
        <v>7.8519699999999997</v>
      </c>
      <c r="N7" s="30">
        <v>0.89</v>
      </c>
      <c r="O7" s="30">
        <f t="shared" si="5"/>
        <v>0.17800000000000002</v>
      </c>
      <c r="P7" s="30">
        <v>3.09009</v>
      </c>
      <c r="Q7" s="30">
        <v>0.141321</v>
      </c>
      <c r="R7" s="31">
        <f t="shared" si="6"/>
        <v>0.39600075842500704</v>
      </c>
      <c r="X7">
        <f t="shared" si="1"/>
        <v>0.2819818448039435</v>
      </c>
    </row>
    <row r="8" spans="1:24" x14ac:dyDescent="0.2">
      <c r="A8">
        <f t="shared" si="0"/>
        <v>0.62713137818226228</v>
      </c>
      <c r="B8">
        <v>0.21</v>
      </c>
      <c r="C8">
        <f t="shared" si="2"/>
        <v>4.2000000000000003E-2</v>
      </c>
      <c r="D8" s="90">
        <f t="shared" si="3"/>
        <v>6.3662408951757635E-2</v>
      </c>
      <c r="E8" s="90">
        <f t="shared" si="4"/>
        <v>3.9924694264318557E-2</v>
      </c>
      <c r="F8" s="118" t="s">
        <v>19</v>
      </c>
      <c r="G8" s="2" t="s">
        <v>10</v>
      </c>
      <c r="H8" s="2">
        <f>'18F norm Option 1'!G6</f>
        <v>0.15563199999999999</v>
      </c>
      <c r="I8" s="35">
        <f>'18F norm Option 1'!H6</f>
        <v>0.50502875614905518</v>
      </c>
      <c r="J8" s="134">
        <f>'18F norm Option 1'!I6</f>
        <v>5.4237800000000003E-2</v>
      </c>
      <c r="K8" s="169">
        <f>'18F norm Option 1'!J6</f>
        <v>0.31671937986543069</v>
      </c>
      <c r="L8" s="134">
        <f>'18F norm Option 1'!K6</f>
        <v>24.385100000000001</v>
      </c>
      <c r="M8" s="170">
        <f>'18F norm Option 1'!L6</f>
        <v>3.04813</v>
      </c>
      <c r="N8" s="132"/>
      <c r="O8" s="132"/>
      <c r="P8" s="132"/>
      <c r="Q8" s="132"/>
      <c r="R8" s="132"/>
      <c r="S8" t="s">
        <v>48</v>
      </c>
      <c r="X8">
        <f t="shared" si="1"/>
        <v>0.62713137818226239</v>
      </c>
    </row>
    <row r="9" spans="1:24" ht="17" thickBot="1" x14ac:dyDescent="0.25">
      <c r="A9">
        <f t="shared" si="0"/>
        <v>0.20907278267795271</v>
      </c>
      <c r="B9">
        <v>0.62</v>
      </c>
      <c r="C9">
        <f t="shared" si="2"/>
        <v>0.124</v>
      </c>
      <c r="D9" s="90">
        <f t="shared" si="3"/>
        <v>0.62</v>
      </c>
      <c r="E9" s="90">
        <f t="shared" si="4"/>
        <v>0.12962512526033068</v>
      </c>
      <c r="F9" s="119"/>
      <c r="G9" s="6" t="s">
        <v>11</v>
      </c>
      <c r="H9" s="6">
        <f>'18F norm Option 1'!G7</f>
        <v>1.5156799999999999</v>
      </c>
      <c r="I9" s="34">
        <f>'18F norm Option 1'!H7</f>
        <v>4.9184099999999997</v>
      </c>
      <c r="J9" s="135">
        <f>'18F norm Option 1'!I7</f>
        <v>0.124664</v>
      </c>
      <c r="K9" s="171">
        <f>'18F norm Option 1'!O7</f>
        <v>1.0283056650510694</v>
      </c>
      <c r="L9" s="135">
        <f>'18F norm Option 1'!K7</f>
        <v>24.385100000000001</v>
      </c>
      <c r="M9" s="172">
        <f>'18F norm Option 1'!L7</f>
        <v>3.04813</v>
      </c>
      <c r="N9" s="132"/>
      <c r="O9" s="132"/>
      <c r="P9" s="132"/>
      <c r="Q9" s="132"/>
      <c r="R9" s="132"/>
      <c r="X9">
        <f t="shared" si="1"/>
        <v>0.20907278267795271</v>
      </c>
    </row>
    <row r="10" spans="1:24" x14ac:dyDescent="0.2">
      <c r="D10" s="90"/>
      <c r="E10" s="90"/>
      <c r="F10" s="125" t="s">
        <v>55</v>
      </c>
      <c r="G10" s="17" t="s">
        <v>10</v>
      </c>
      <c r="H10" s="2"/>
      <c r="I10" s="35"/>
      <c r="J10" s="2"/>
      <c r="K10" s="136">
        <f t="shared" ref="K10:K11" si="7">J10*SQRT(M10)</f>
        <v>0</v>
      </c>
      <c r="L10" s="2"/>
      <c r="M10" s="3"/>
      <c r="N10" s="132"/>
      <c r="O10" s="132"/>
      <c r="P10" s="132"/>
      <c r="Q10" s="132"/>
      <c r="R10" s="132"/>
      <c r="S10" t="s">
        <v>57</v>
      </c>
    </row>
    <row r="11" spans="1:24" ht="17" thickBot="1" x14ac:dyDescent="0.25">
      <c r="D11" s="90"/>
      <c r="E11" s="90"/>
      <c r="F11" s="121"/>
      <c r="G11" s="22" t="s">
        <v>11</v>
      </c>
      <c r="H11" s="6"/>
      <c r="I11" s="34"/>
      <c r="J11" s="6"/>
      <c r="K11" s="173">
        <f t="shared" si="7"/>
        <v>0</v>
      </c>
      <c r="L11" s="6"/>
      <c r="M11" s="7"/>
      <c r="N11" s="132"/>
      <c r="O11" s="132"/>
      <c r="P11" s="132"/>
      <c r="Q11" s="132"/>
      <c r="R11" s="132"/>
    </row>
    <row r="12" spans="1:24" ht="17" thickBot="1" x14ac:dyDescent="0.25">
      <c r="A12">
        <f t="shared" si="0"/>
        <v>0.33530196763459708</v>
      </c>
      <c r="B12">
        <v>0.17</v>
      </c>
      <c r="C12">
        <f t="shared" si="2"/>
        <v>3.4000000000000002E-2</v>
      </c>
      <c r="D12" s="90">
        <f t="shared" si="3"/>
        <v>0.14737312625356278</v>
      </c>
      <c r="E12" s="90">
        <f t="shared" si="4"/>
        <v>4.9414499209281496E-2</v>
      </c>
      <c r="F12" s="118" t="s">
        <v>23</v>
      </c>
      <c r="G12" s="2" t="s">
        <v>7</v>
      </c>
      <c r="H12" s="2">
        <f>'18F norm Option 1'!G10</f>
        <v>0.36027500000000001</v>
      </c>
      <c r="I12" s="35">
        <f>H12*$H$29</f>
        <v>1.169099125639977</v>
      </c>
      <c r="J12" s="2">
        <f>'18F norm Option 1'!I10</f>
        <v>6.9371299999999997E-2</v>
      </c>
      <c r="K12" s="2">
        <f>'18F norm Option 1'!J10</f>
        <v>0.39200123718697127</v>
      </c>
      <c r="L12" s="2">
        <f>'18F norm Option 1'!K10</f>
        <v>14.4574</v>
      </c>
      <c r="M12" s="2">
        <f>'18F norm Option 1'!L10</f>
        <v>2.4095599999999999</v>
      </c>
      <c r="N12" s="132"/>
      <c r="O12" s="132"/>
      <c r="P12" s="132"/>
      <c r="Q12" s="132"/>
      <c r="R12" s="132"/>
      <c r="S12" t="s">
        <v>48</v>
      </c>
      <c r="X12">
        <f t="shared" si="1"/>
        <v>0.33530196763459708</v>
      </c>
    </row>
    <row r="13" spans="1:24" ht="17" thickBot="1" x14ac:dyDescent="0.25">
      <c r="A13">
        <f t="shared" si="0"/>
        <v>0.17942645284541428</v>
      </c>
      <c r="B13">
        <v>0.68</v>
      </c>
      <c r="C13">
        <f t="shared" si="2"/>
        <v>0.13600000000000001</v>
      </c>
      <c r="D13" s="90">
        <f t="shared" si="3"/>
        <v>0.77927055842921999</v>
      </c>
      <c r="E13" s="90">
        <f t="shared" si="4"/>
        <v>0.1398217521058201</v>
      </c>
      <c r="F13" s="119"/>
      <c r="G13" s="6" t="s">
        <v>6</v>
      </c>
      <c r="H13" s="6">
        <f>'18F norm Option 1'!G11</f>
        <v>1.9050400000000001</v>
      </c>
      <c r="I13" s="34">
        <f>H13*$H$29</f>
        <v>6.181890495619129</v>
      </c>
      <c r="J13" s="2">
        <f>'18F norm Option 1'!I11</f>
        <v>0.117092</v>
      </c>
      <c r="K13" s="2">
        <f>'18F norm Option 1'!J11</f>
        <v>1.1091946835077204</v>
      </c>
      <c r="L13" s="2">
        <f>'18F norm Option 1'!K11</f>
        <v>14.4574</v>
      </c>
      <c r="M13" s="2">
        <f>'18F norm Option 1'!L11</f>
        <v>2.4095599999999999</v>
      </c>
      <c r="N13" s="132"/>
      <c r="O13" s="132"/>
      <c r="P13" s="132"/>
      <c r="Q13" s="132"/>
      <c r="R13" s="132"/>
      <c r="X13">
        <f t="shared" si="1"/>
        <v>0.17942645284541428</v>
      </c>
    </row>
    <row r="14" spans="1:24" ht="17" thickBot="1" x14ac:dyDescent="0.25">
      <c r="A14">
        <f t="shared" si="0"/>
        <v>0.33589419795562614</v>
      </c>
      <c r="B14">
        <v>7.3999999999999996E-2</v>
      </c>
      <c r="C14">
        <f t="shared" si="2"/>
        <v>1.4800000000000001E-2</v>
      </c>
      <c r="D14" s="90">
        <f t="shared" si="3"/>
        <v>0.17371969017206801</v>
      </c>
      <c r="E14" s="90">
        <f t="shared" si="4"/>
        <v>5.8351435999446651E-2</v>
      </c>
      <c r="F14" s="1" t="s">
        <v>24</v>
      </c>
      <c r="G14" s="2" t="s">
        <v>5</v>
      </c>
      <c r="H14" s="6">
        <f>'18F norm Option 1'!G12</f>
        <v>0.42468299999999998</v>
      </c>
      <c r="I14" s="35">
        <f>H14*$H$29</f>
        <v>1.3781042924825821</v>
      </c>
      <c r="J14" s="2">
        <f>'18F norm Option 1'!I12</f>
        <v>8.5518999999999998E-2</v>
      </c>
      <c r="K14" s="2">
        <f>'18F norm Option 1'!J12</f>
        <v>0.46289723602264254</v>
      </c>
      <c r="L14" s="2">
        <f>'18F norm Option 1'!K12</f>
        <v>11.064500000000001</v>
      </c>
      <c r="M14" s="2">
        <f>'18F norm Option 1'!L12</f>
        <v>2.2128999999999999</v>
      </c>
      <c r="N14" s="132"/>
      <c r="O14" s="132"/>
      <c r="P14" s="132"/>
      <c r="Q14" s="132"/>
      <c r="R14" s="132"/>
      <c r="S14" t="s">
        <v>48</v>
      </c>
      <c r="X14">
        <f t="shared" si="1"/>
        <v>0.33589419795562614</v>
      </c>
    </row>
    <row r="15" spans="1:24" x14ac:dyDescent="0.2">
      <c r="A15">
        <f t="shared" si="0"/>
        <v>0.26734310826738167</v>
      </c>
      <c r="B15">
        <v>1.04</v>
      </c>
      <c r="C15">
        <f t="shared" si="2"/>
        <v>0.20800000000000002</v>
      </c>
      <c r="D15" s="90">
        <f t="shared" si="3"/>
        <v>0.88432825926316905</v>
      </c>
      <c r="E15" s="90">
        <f t="shared" si="4"/>
        <v>0.23641906556009859</v>
      </c>
      <c r="F15" s="70" t="s">
        <v>25</v>
      </c>
      <c r="G15" s="48" t="s">
        <v>12</v>
      </c>
      <c r="H15" s="48">
        <f>N15*P15</f>
        <v>2.1618688000000001</v>
      </c>
      <c r="I15" s="57">
        <f>H15*$H$29</f>
        <v>7.0153047639396187</v>
      </c>
      <c r="J15" s="48"/>
      <c r="K15" s="48">
        <f>I15*SQRT(POWER(($I$29/$H$29),2)+POWER((R15/P15),2)+POWER((O15/N15),2))</f>
        <v>1.875493381034588</v>
      </c>
      <c r="L15" s="48">
        <v>55.631799999999998</v>
      </c>
      <c r="M15" s="48">
        <v>7.9474</v>
      </c>
      <c r="N15" s="48">
        <v>1.04</v>
      </c>
      <c r="O15" s="48">
        <f>0.2*N15</f>
        <v>0.20800000000000002</v>
      </c>
      <c r="P15" s="48">
        <v>2.0787200000000001</v>
      </c>
      <c r="Q15" s="48">
        <v>6.7506200000000002E-2</v>
      </c>
      <c r="R15" s="71">
        <f>Q15*SQRT(M15)</f>
        <v>0.19030762866815942</v>
      </c>
      <c r="S15" t="s">
        <v>95</v>
      </c>
      <c r="X15">
        <f t="shared" si="1"/>
        <v>0.26734310826738167</v>
      </c>
    </row>
    <row r="16" spans="1:24" ht="18" thickBot="1" x14ac:dyDescent="0.25">
      <c r="A16">
        <f t="shared" si="0"/>
        <v>0.26734310826738156</v>
      </c>
      <c r="B16">
        <v>0.18</v>
      </c>
      <c r="C16">
        <f t="shared" si="2"/>
        <v>3.5999999999999997E-2</v>
      </c>
      <c r="D16" s="90">
        <f t="shared" si="3"/>
        <v>0.15305681410324079</v>
      </c>
      <c r="E16" s="90">
        <f t="shared" si="4"/>
        <v>4.0918684423863198E-2</v>
      </c>
      <c r="F16" s="73" t="s">
        <v>27</v>
      </c>
      <c r="G16" s="74" t="s">
        <v>8</v>
      </c>
      <c r="H16" s="74">
        <f>N16*P16</f>
        <v>0.37416959999999999</v>
      </c>
      <c r="I16" s="75">
        <f>H16*$H$29</f>
        <v>1.2141873629895492</v>
      </c>
      <c r="J16" s="74"/>
      <c r="K16" s="74">
        <f>I16*SQRT(POWER(($I$29/$H$29),2)+POWER((R16/P16),2)+POWER((O16/N16),2))</f>
        <v>0.32460462364060161</v>
      </c>
      <c r="L16" s="74">
        <v>55.631799999999998</v>
      </c>
      <c r="M16" s="74">
        <v>7.9474</v>
      </c>
      <c r="N16" s="74">
        <v>0.18</v>
      </c>
      <c r="O16" s="74">
        <f>0.2*N16</f>
        <v>3.5999999999999997E-2</v>
      </c>
      <c r="P16" s="74">
        <v>2.0787200000000001</v>
      </c>
      <c r="Q16" s="74">
        <v>6.7506200000000002E-2</v>
      </c>
      <c r="R16" s="76">
        <f t="shared" ref="R16:R21" si="8">Q16*SQRT(M16)</f>
        <v>0.19030762866815942</v>
      </c>
      <c r="X16">
        <f t="shared" si="1"/>
        <v>0.26734310826738161</v>
      </c>
    </row>
    <row r="17" spans="1:24" ht="17" thickBot="1" x14ac:dyDescent="0.25">
      <c r="A17">
        <f t="shared" si="0"/>
        <v>0.39872152786715087</v>
      </c>
      <c r="B17">
        <v>0.17</v>
      </c>
      <c r="C17">
        <f t="shared" si="2"/>
        <v>3.4000000000000002E-2</v>
      </c>
      <c r="D17" s="90">
        <f t="shared" si="3"/>
        <v>0.15681294204581445</v>
      </c>
      <c r="E17" s="90">
        <f t="shared" si="4"/>
        <v>6.2524695841850123E-2</v>
      </c>
      <c r="F17" s="118" t="s">
        <v>28</v>
      </c>
      <c r="G17" s="2" t="s">
        <v>10</v>
      </c>
      <c r="H17" s="2">
        <f>'18F norm Option 1'!G14</f>
        <v>0.38335200000000003</v>
      </c>
      <c r="I17" s="35">
        <f>'18F norm Option 1'!H14</f>
        <v>1.2439844230444423</v>
      </c>
      <c r="J17" s="2">
        <f>'18F norm Option 1'!I14</f>
        <v>9.3142699999999995E-2</v>
      </c>
      <c r="K17" s="2">
        <f>'18F norm Option 1'!J14</f>
        <v>0.49600336979921622</v>
      </c>
      <c r="L17" s="2">
        <f>'18F norm Option 1'!K14</f>
        <v>13.811199999999999</v>
      </c>
      <c r="M17" s="2">
        <f>'18F norm Option 1'!L14</f>
        <v>2.30186</v>
      </c>
      <c r="N17" s="132"/>
      <c r="O17" s="132"/>
      <c r="P17" s="132"/>
      <c r="Q17" s="132"/>
      <c r="R17" s="153"/>
      <c r="S17" t="s">
        <v>48</v>
      </c>
      <c r="X17">
        <f t="shared" si="1"/>
        <v>0.39872152786715087</v>
      </c>
    </row>
    <row r="18" spans="1:24" ht="17" thickBot="1" x14ac:dyDescent="0.25">
      <c r="A18">
        <f t="shared" si="0"/>
        <v>0.21669167509314727</v>
      </c>
      <c r="B18">
        <v>0.51</v>
      </c>
      <c r="C18">
        <f t="shared" si="2"/>
        <v>0.10200000000000001</v>
      </c>
      <c r="D18" s="90">
        <f t="shared" si="3"/>
        <v>0.47113995038530559</v>
      </c>
      <c r="E18" s="90">
        <f t="shared" si="4"/>
        <v>0.10209210505229416</v>
      </c>
      <c r="F18" s="122"/>
      <c r="G18" s="132" t="s">
        <v>11</v>
      </c>
      <c r="H18" s="2">
        <f>'18F norm Option 1'!G15</f>
        <v>1.15177</v>
      </c>
      <c r="I18" s="35">
        <f>'18F norm Option 1'!H15</f>
        <v>3.7375152312493403</v>
      </c>
      <c r="J18" s="2">
        <f>'18F norm Option 1'!I15</f>
        <v>0.117274</v>
      </c>
      <c r="K18" s="2">
        <f>'18F norm Option 1'!J15</f>
        <v>0.80988843614557104</v>
      </c>
      <c r="L18" s="2">
        <f>'18F norm Option 1'!K15</f>
        <v>13.811199999999999</v>
      </c>
      <c r="M18" s="2">
        <f>'18F norm Option 1'!L15</f>
        <v>2.30186</v>
      </c>
      <c r="N18" s="132"/>
      <c r="O18" s="132"/>
      <c r="P18" s="132"/>
      <c r="Q18" s="132"/>
      <c r="R18" s="153"/>
      <c r="X18">
        <f t="shared" si="1"/>
        <v>0.21669167509314721</v>
      </c>
    </row>
    <row r="19" spans="1:24" ht="17" thickBot="1" x14ac:dyDescent="0.25">
      <c r="D19" s="90"/>
      <c r="F19" s="81" t="s">
        <v>29</v>
      </c>
      <c r="G19" s="58" t="s">
        <v>8</v>
      </c>
      <c r="H19" s="58">
        <f>0.2*1.42</f>
        <v>0.28399999999999997</v>
      </c>
      <c r="I19" s="82">
        <f>H19*$H$29</f>
        <v>0.9215853214398817</v>
      </c>
      <c r="J19" s="58"/>
      <c r="K19" s="58">
        <f>I19*SQRT(POWER(($I$29/$H$29),2)+POWER((R19/P19),2)+POWER((O19/N19),2))</f>
        <v>0.25725005957972208</v>
      </c>
      <c r="L19" s="58">
        <v>13.728</v>
      </c>
      <c r="M19" s="58">
        <v>2.74559</v>
      </c>
      <c r="N19" s="58">
        <v>0.16</v>
      </c>
      <c r="O19" s="58">
        <f>0.2*N19</f>
        <v>3.2000000000000001E-2</v>
      </c>
      <c r="P19" s="58">
        <v>2.4052099999999998</v>
      </c>
      <c r="Q19" s="58">
        <v>0.17675399999999999</v>
      </c>
      <c r="R19" s="83">
        <f t="shared" si="8"/>
        <v>0.29287823118587092</v>
      </c>
      <c r="S19" t="s">
        <v>59</v>
      </c>
      <c r="X19">
        <f t="shared" si="1"/>
        <v>0.27913862514411086</v>
      </c>
    </row>
    <row r="20" spans="1:24" ht="17" thickBot="1" x14ac:dyDescent="0.25">
      <c r="D20" s="90"/>
      <c r="F20" s="64" t="s">
        <v>30</v>
      </c>
      <c r="G20" s="157" t="s">
        <v>7</v>
      </c>
      <c r="H20" s="157">
        <f>0.75*1.42</f>
        <v>1.0649999999999999</v>
      </c>
      <c r="I20" s="168">
        <f>H20*$H$29</f>
        <v>3.4559449553995565</v>
      </c>
      <c r="J20" s="157"/>
      <c r="K20" s="58">
        <f t="shared" ref="K20:K21" si="9">I20*SQRT(POWER(($I$29/$H$29),2)+POWER((R20/P20),2)+POWER((O20/N20),2))</f>
        <v>0.96468772342395792</v>
      </c>
      <c r="L20" s="157">
        <v>13.728</v>
      </c>
      <c r="M20" s="157">
        <v>2.74559</v>
      </c>
      <c r="N20" s="157">
        <v>1.01</v>
      </c>
      <c r="O20" s="157">
        <f t="shared" ref="O20:O21" si="10">0.2*N20</f>
        <v>0.20200000000000001</v>
      </c>
      <c r="P20" s="157">
        <v>2.4052099999999998</v>
      </c>
      <c r="Q20" s="157">
        <v>0.17675399999999999</v>
      </c>
      <c r="R20" s="45">
        <f t="shared" si="8"/>
        <v>0.29287823118587092</v>
      </c>
      <c r="X20">
        <f t="shared" si="1"/>
        <v>0.27913862514411092</v>
      </c>
    </row>
    <row r="21" spans="1:24" x14ac:dyDescent="0.2">
      <c r="D21" s="90"/>
      <c r="F21" s="64" t="s">
        <v>80</v>
      </c>
      <c r="G21" s="157" t="s">
        <v>10</v>
      </c>
      <c r="H21" s="157">
        <v>0</v>
      </c>
      <c r="I21" s="168">
        <f>H21*$H$29</f>
        <v>0</v>
      </c>
      <c r="J21" s="157"/>
      <c r="K21" s="58">
        <f t="shared" si="9"/>
        <v>0</v>
      </c>
      <c r="L21" s="157">
        <v>13.728</v>
      </c>
      <c r="M21" s="157">
        <v>2.74559</v>
      </c>
      <c r="N21" s="157">
        <v>0.35</v>
      </c>
      <c r="O21" s="157">
        <f t="shared" si="10"/>
        <v>6.9999999999999993E-2</v>
      </c>
      <c r="P21" s="157">
        <v>2.4052099999999998</v>
      </c>
      <c r="Q21" s="157">
        <v>0.17675399999999999</v>
      </c>
      <c r="R21" s="45">
        <f t="shared" si="8"/>
        <v>0.29287823118587092</v>
      </c>
    </row>
    <row r="22" spans="1:24" ht="17" thickBot="1" x14ac:dyDescent="0.25">
      <c r="D22" s="90"/>
      <c r="F22" s="84" t="s">
        <v>81</v>
      </c>
      <c r="G22" s="15" t="s">
        <v>82</v>
      </c>
      <c r="H22" s="15">
        <v>0.03</v>
      </c>
      <c r="I22" s="36"/>
      <c r="J22" s="15"/>
      <c r="K22" s="15"/>
      <c r="L22" s="15"/>
      <c r="M22" s="15"/>
      <c r="N22" s="15"/>
      <c r="O22" s="15"/>
      <c r="P22" s="15"/>
      <c r="Q22" s="15"/>
      <c r="R22" s="16"/>
    </row>
    <row r="23" spans="1:24" ht="35" thickBot="1" x14ac:dyDescent="0.25">
      <c r="D23" s="90"/>
      <c r="F23" s="65" t="s">
        <v>31</v>
      </c>
      <c r="G23" s="50" t="s">
        <v>13</v>
      </c>
      <c r="H23" s="50">
        <f>'18F norm Option 1'!G20</f>
        <v>0.80409799999999998</v>
      </c>
      <c r="I23" s="66">
        <f>'18F norm Option 1'!H20</f>
        <v>3.6530383074606778</v>
      </c>
      <c r="J23" s="50">
        <f>'18F norm Option 1'!I20</f>
        <v>0.103809</v>
      </c>
      <c r="K23" s="50">
        <f>'18F norm Option 1'!J20</f>
        <v>0.79755574679409624</v>
      </c>
      <c r="L23" s="50">
        <f>'18F norm Option 1'!K20</f>
        <v>1.25024</v>
      </c>
      <c r="M23" s="50">
        <f>'18F norm Option 1'!L20</f>
        <v>0.25004900000000002</v>
      </c>
      <c r="N23" s="132"/>
      <c r="O23" s="132"/>
      <c r="P23" s="132"/>
      <c r="Q23" s="132"/>
      <c r="R23" s="132"/>
      <c r="S23" t="s">
        <v>48</v>
      </c>
      <c r="X23">
        <f t="shared" si="1"/>
        <v>0.21832668580705306</v>
      </c>
    </row>
    <row r="24" spans="1:24" ht="34" customHeight="1" x14ac:dyDescent="0.2">
      <c r="D24" s="90">
        <f t="shared" si="3"/>
        <v>0.24543439248390164</v>
      </c>
      <c r="F24" s="174" t="s">
        <v>96</v>
      </c>
      <c r="G24" s="136" t="s">
        <v>97</v>
      </c>
      <c r="H24" s="136">
        <v>0.6</v>
      </c>
      <c r="I24" s="136">
        <f>H24*H29</f>
        <v>1.9470112424786234</v>
      </c>
      <c r="J24" s="136"/>
      <c r="K24" s="136"/>
      <c r="L24" s="136"/>
      <c r="M24" s="175"/>
      <c r="N24" s="155"/>
      <c r="O24" s="155"/>
      <c r="P24" s="155"/>
      <c r="Q24" s="155"/>
      <c r="R24" s="155"/>
    </row>
    <row r="25" spans="1:24" ht="17" thickBot="1" x14ac:dyDescent="0.25">
      <c r="A25">
        <f t="shared" si="0"/>
        <v>0.23525718343534233</v>
      </c>
      <c r="D25" s="90">
        <f t="shared" si="3"/>
        <v>0.84183996621978252</v>
      </c>
      <c r="E25">
        <f>K25*$B$9/$I$9</f>
        <v>0.19804889935616976</v>
      </c>
      <c r="F25" s="176"/>
      <c r="G25" s="173" t="s">
        <v>98</v>
      </c>
      <c r="H25" s="173">
        <f>1.47*H34</f>
        <v>2.0579999999999998</v>
      </c>
      <c r="I25" s="173">
        <f>H25*H29</f>
        <v>6.678248561701678</v>
      </c>
      <c r="J25" s="173">
        <f>0.16</f>
        <v>0.16</v>
      </c>
      <c r="K25" s="173">
        <f>I25*SQRT(POWER((J25/1.47),2)+POWER((I34/H34),2)+POWER((I29/H29),2))</f>
        <v>1.5711059469070627</v>
      </c>
      <c r="L25" s="173"/>
      <c r="M25" s="177"/>
      <c r="N25" s="155"/>
      <c r="O25" s="155"/>
      <c r="P25" s="155"/>
      <c r="Q25" s="155"/>
      <c r="R25" s="155"/>
      <c r="X25">
        <f t="shared" si="1"/>
        <v>0.23525718343534233</v>
      </c>
    </row>
    <row r="26" spans="1:24" x14ac:dyDescent="0.2">
      <c r="F26" s="156"/>
      <c r="G26" s="153"/>
      <c r="H26" s="153"/>
      <c r="I26" s="154"/>
      <c r="J26" s="153"/>
      <c r="K26" s="153"/>
      <c r="L26" s="153"/>
      <c r="M26" s="155"/>
    </row>
    <row r="28" spans="1:24" x14ac:dyDescent="0.2">
      <c r="F28" t="s">
        <v>45</v>
      </c>
      <c r="H28" t="s">
        <v>61</v>
      </c>
      <c r="I28" t="s">
        <v>107</v>
      </c>
    </row>
    <row r="29" spans="1:24" x14ac:dyDescent="0.2">
      <c r="F29">
        <v>3.6014013985414599</v>
      </c>
      <c r="H29">
        <f>'18F norm Option 1'!G23</f>
        <v>3.2450187374643726</v>
      </c>
      <c r="I29">
        <f>'18F norm Option 1'!H23</f>
        <v>0.4931026033780847</v>
      </c>
    </row>
    <row r="30" spans="1:24" x14ac:dyDescent="0.2">
      <c r="F30" t="s">
        <v>62</v>
      </c>
      <c r="H30" t="s">
        <v>63</v>
      </c>
    </row>
    <row r="33" spans="8:9" x14ac:dyDescent="0.2">
      <c r="H33" t="s">
        <v>117</v>
      </c>
      <c r="I33" t="s">
        <v>118</v>
      </c>
    </row>
    <row r="34" spans="8:9" x14ac:dyDescent="0.2">
      <c r="H34">
        <v>1.4</v>
      </c>
      <c r="I34">
        <v>0.2</v>
      </c>
    </row>
    <row r="39" spans="8:9" x14ac:dyDescent="0.2">
      <c r="I39" t="s">
        <v>91</v>
      </c>
    </row>
  </sheetData>
  <mergeCells count="6">
    <mergeCell ref="F24:F25"/>
    <mergeCell ref="F8:F9"/>
    <mergeCell ref="F10:F11"/>
    <mergeCell ref="F12:F13"/>
    <mergeCell ref="F17:F18"/>
    <mergeCell ref="F4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9A37-1643-1048-AB5D-38CA5C6FAEF5}">
  <dimension ref="A1:Y56"/>
  <sheetViews>
    <sheetView tabSelected="1" topLeftCell="H29" zoomScale="110" zoomScaleNormal="110" workbookViewId="0">
      <selection activeCell="Z24" sqref="Z24:Z25"/>
    </sheetView>
  </sheetViews>
  <sheetFormatPr baseColWidth="10" defaultRowHeight="16" x14ac:dyDescent="0.2"/>
  <cols>
    <col min="7" max="8" width="15.33203125" customWidth="1"/>
    <col min="14" max="15" width="14.83203125" customWidth="1"/>
    <col min="18" max="18" width="13" customWidth="1"/>
  </cols>
  <sheetData>
    <row r="1" spans="1:25" x14ac:dyDescent="0.2">
      <c r="G1" t="s">
        <v>66</v>
      </c>
      <c r="N1" t="s">
        <v>70</v>
      </c>
    </row>
    <row r="2" spans="1:25" x14ac:dyDescent="0.2">
      <c r="G2" t="s">
        <v>67</v>
      </c>
      <c r="I2" t="s">
        <v>68</v>
      </c>
      <c r="J2" t="s">
        <v>69</v>
      </c>
      <c r="K2" t="s">
        <v>86</v>
      </c>
      <c r="N2" t="s">
        <v>67</v>
      </c>
      <c r="P2" t="s">
        <v>68</v>
      </c>
      <c r="Q2" t="s">
        <v>69</v>
      </c>
      <c r="R2" t="s">
        <v>86</v>
      </c>
      <c r="S2" t="s">
        <v>85</v>
      </c>
      <c r="T2" t="s">
        <v>2</v>
      </c>
      <c r="U2" t="s">
        <v>120</v>
      </c>
      <c r="V2" t="s">
        <v>102</v>
      </c>
    </row>
    <row r="3" spans="1:25" x14ac:dyDescent="0.2">
      <c r="C3" t="s">
        <v>74</v>
      </c>
      <c r="D3" t="s">
        <v>77</v>
      </c>
      <c r="E3" t="s">
        <v>75</v>
      </c>
      <c r="G3" t="s">
        <v>72</v>
      </c>
      <c r="H3" t="s">
        <v>110</v>
      </c>
      <c r="I3" t="s">
        <v>71</v>
      </c>
      <c r="N3" t="s">
        <v>72</v>
      </c>
      <c r="O3" t="s">
        <v>110</v>
      </c>
      <c r="P3" t="s">
        <v>71</v>
      </c>
    </row>
    <row r="4" spans="1:25" x14ac:dyDescent="0.2">
      <c r="L4" s="101"/>
      <c r="M4" s="92" t="s">
        <v>20</v>
      </c>
      <c r="N4" s="92">
        <f>'18F norm Option 2 lit'!I3</f>
        <v>7.4353114331521173</v>
      </c>
      <c r="O4" s="92">
        <f>'18F norm Option 2 lit'!K3</f>
        <v>1.2880554729207276</v>
      </c>
      <c r="P4" s="92">
        <v>0.18529999999999999</v>
      </c>
      <c r="Q4" s="93">
        <f>N4*$P$12/$N$12</f>
        <v>0.86803577272247467</v>
      </c>
      <c r="R4">
        <f>O4*$P$12/$N$12</f>
        <v>0.15037409499230076</v>
      </c>
      <c r="U4">
        <f>O4/N4</f>
        <v>0.17323490542408537</v>
      </c>
    </row>
    <row r="5" spans="1:25" x14ac:dyDescent="0.2">
      <c r="A5" s="108" t="s">
        <v>38</v>
      </c>
      <c r="B5" s="106" t="s">
        <v>8</v>
      </c>
      <c r="C5" s="106">
        <v>1.22</v>
      </c>
      <c r="D5" s="106">
        <f>0.15*C5</f>
        <v>0.183</v>
      </c>
      <c r="E5" s="106">
        <f>$G$12/$C$12*C5</f>
        <v>7.2294701204819276</v>
      </c>
      <c r="F5" s="106">
        <f>0.15*E5</f>
        <v>1.084420518072289</v>
      </c>
      <c r="G5" s="109">
        <f>'18O Option 2 lit'!G3</f>
        <v>6.1960600000000001</v>
      </c>
      <c r="H5" s="109">
        <f>'18O Option 2 lit'!I3</f>
        <v>0.84551640881286871</v>
      </c>
      <c r="I5" s="109">
        <v>1.5448</v>
      </c>
      <c r="J5" s="110">
        <f>G5*$I$12/$G$12</f>
        <v>1.5478780585595753</v>
      </c>
      <c r="K5" s="113">
        <f>H5*$I$12/$G$12</f>
        <v>0.21122395479603609</v>
      </c>
      <c r="L5" s="100" t="s">
        <v>4</v>
      </c>
      <c r="M5" s="98" t="s">
        <v>5</v>
      </c>
      <c r="N5" s="98"/>
      <c r="O5" s="98"/>
      <c r="P5" s="98">
        <v>0.31640000000000001</v>
      </c>
      <c r="Q5" s="99"/>
    </row>
    <row r="6" spans="1:25" x14ac:dyDescent="0.2">
      <c r="D6" s="106"/>
      <c r="E6" s="106"/>
      <c r="F6" s="106"/>
      <c r="G6" s="90"/>
      <c r="H6" s="90"/>
      <c r="I6" s="90"/>
      <c r="J6" s="90"/>
      <c r="K6" s="113"/>
      <c r="L6" s="129" t="s">
        <v>15</v>
      </c>
      <c r="M6" s="92" t="s">
        <v>7</v>
      </c>
      <c r="N6" s="92">
        <f>'18F norm Option 2 lit'!I4</f>
        <v>1.0227947949460308</v>
      </c>
      <c r="O6" s="92">
        <f>'18F norm Option 2 lit'!K4</f>
        <v>0.28840956313475286</v>
      </c>
      <c r="P6" s="92">
        <v>0.3211</v>
      </c>
      <c r="Q6" s="93">
        <f t="shared" ref="Q6:Q39" si="0">N6*$P$12/$N$12</f>
        <v>0.11940622503166896</v>
      </c>
      <c r="R6">
        <f t="shared" ref="R6:R36" si="1">O6*$P$12/$N$12</f>
        <v>3.3670387615504831E-2</v>
      </c>
      <c r="S6">
        <v>0.10199999999999999</v>
      </c>
      <c r="T6">
        <f>$N$12/$S$12*S6</f>
        <v>0.80915777419354828</v>
      </c>
      <c r="U6">
        <f t="shared" ref="U5:U36" si="2">O6/N6</f>
        <v>0.2819818448039435</v>
      </c>
    </row>
    <row r="7" spans="1:25" x14ac:dyDescent="0.2">
      <c r="D7" s="106"/>
      <c r="E7" s="106"/>
      <c r="F7" s="106"/>
      <c r="G7" s="90"/>
      <c r="H7" s="90"/>
      <c r="I7" s="90"/>
      <c r="J7" s="90"/>
      <c r="K7" s="113"/>
      <c r="L7" s="130"/>
      <c r="M7" t="s">
        <v>60</v>
      </c>
      <c r="O7" s="92">
        <f>'18F norm Option 2 lit'!K5</f>
        <v>0.86522868940425868</v>
      </c>
      <c r="P7">
        <v>2.9399999999999999E-2</v>
      </c>
      <c r="Q7" s="95"/>
      <c r="R7">
        <f t="shared" si="1"/>
        <v>0.1010111628465145</v>
      </c>
      <c r="T7">
        <f t="shared" ref="T7:T11" si="3">$N$12/$S$12*S7</f>
        <v>0</v>
      </c>
    </row>
    <row r="8" spans="1:25" x14ac:dyDescent="0.2">
      <c r="D8" s="106"/>
      <c r="E8" s="106"/>
      <c r="F8" s="106"/>
      <c r="G8" s="90"/>
      <c r="H8" s="90"/>
      <c r="I8" s="90"/>
      <c r="J8" s="90"/>
      <c r="K8" s="113"/>
      <c r="L8" s="130"/>
      <c r="M8" t="s">
        <v>58</v>
      </c>
      <c r="N8">
        <f>'18F norm Option 2 lit'!I5</f>
        <v>3.0683843848380925</v>
      </c>
      <c r="O8">
        <f>'18F norm Option 2 lit'!K5</f>
        <v>0.86522868940425868</v>
      </c>
      <c r="P8">
        <v>0.26400000000000001</v>
      </c>
      <c r="Q8" s="95">
        <f t="shared" si="0"/>
        <v>0.35821867509500693</v>
      </c>
      <c r="R8">
        <f t="shared" si="1"/>
        <v>0.1010111628465145</v>
      </c>
      <c r="S8">
        <v>0.30599999999999999</v>
      </c>
      <c r="T8">
        <f t="shared" si="3"/>
        <v>2.4274733225806453</v>
      </c>
      <c r="U8">
        <f t="shared" si="2"/>
        <v>0.2819818448039435</v>
      </c>
      <c r="W8" t="s">
        <v>119</v>
      </c>
      <c r="X8" t="s">
        <v>0</v>
      </c>
    </row>
    <row r="9" spans="1:25" ht="17" x14ac:dyDescent="0.2">
      <c r="D9" s="106"/>
      <c r="E9" s="106"/>
      <c r="F9" s="106"/>
      <c r="G9" s="90"/>
      <c r="H9" s="90"/>
      <c r="I9" s="90"/>
      <c r="J9" s="90"/>
      <c r="K9" s="113"/>
      <c r="L9" s="96" t="s">
        <v>16</v>
      </c>
      <c r="M9" t="s">
        <v>8</v>
      </c>
      <c r="N9">
        <f>'18F norm Option 2 lit'!I6</f>
        <v>9.626303952433231</v>
      </c>
      <c r="O9">
        <f>'18F norm Option 2 lit'!K6</f>
        <v>2.7144429471506153</v>
      </c>
      <c r="P9">
        <v>0.75139999999999996</v>
      </c>
      <c r="Q9" s="95">
        <f t="shared" si="0"/>
        <v>1.1238232944157081</v>
      </c>
      <c r="R9">
        <f t="shared" si="1"/>
        <v>0.31689776579298662</v>
      </c>
      <c r="S9">
        <v>0.96</v>
      </c>
      <c r="T9">
        <f t="shared" si="3"/>
        <v>7.6156025806451613</v>
      </c>
      <c r="U9">
        <f t="shared" si="2"/>
        <v>0.2819818448039435</v>
      </c>
      <c r="V9">
        <f>(G5-N9)/SQRT(H5*H5+O9*O9)</f>
        <v>-1.2065242951441306</v>
      </c>
      <c r="W9">
        <f>N9/G5</f>
        <v>1.5536169682722942</v>
      </c>
    </row>
    <row r="10" spans="1:25" x14ac:dyDescent="0.2">
      <c r="D10" s="106"/>
      <c r="E10" s="106"/>
      <c r="F10" s="106"/>
      <c r="G10" s="90"/>
      <c r="H10" s="90"/>
      <c r="I10" s="90"/>
      <c r="J10" s="90"/>
      <c r="K10" s="113"/>
      <c r="L10" s="100" t="s">
        <v>17</v>
      </c>
      <c r="M10" s="98" t="s">
        <v>9</v>
      </c>
      <c r="N10" s="98">
        <f>'18F norm Option 2 lit'!I7</f>
        <v>8.9243859559016432</v>
      </c>
      <c r="O10">
        <f>'18F norm Option 2 lit'!K7</f>
        <v>2.5165148155875503</v>
      </c>
      <c r="P10" s="98">
        <v>1</v>
      </c>
      <c r="Q10" s="99">
        <f t="shared" si="0"/>
        <v>1.0418778458645628</v>
      </c>
      <c r="R10">
        <f t="shared" si="1"/>
        <v>0.29379063703724811</v>
      </c>
      <c r="S10">
        <v>0.89</v>
      </c>
      <c r="T10">
        <f t="shared" si="3"/>
        <v>7.0602982258064513</v>
      </c>
      <c r="U10">
        <f t="shared" si="2"/>
        <v>0.2819818448039435</v>
      </c>
    </row>
    <row r="11" spans="1:25" x14ac:dyDescent="0.2">
      <c r="A11" s="127" t="s">
        <v>37</v>
      </c>
      <c r="B11" s="92" t="s">
        <v>10</v>
      </c>
      <c r="C11" s="92">
        <v>0.21</v>
      </c>
      <c r="D11" s="106">
        <f t="shared" ref="D11:D32" si="4">0.15*C11</f>
        <v>3.15E-2</v>
      </c>
      <c r="E11" s="106">
        <f>$G$12/$C$12*C11</f>
        <v>1.2444169879518072</v>
      </c>
      <c r="F11" s="106">
        <f t="shared" ref="F11:F32" si="5">0.15*E11</f>
        <v>0.18666254819277109</v>
      </c>
      <c r="G11" s="111">
        <f>'18O Option 2 lit'!G4</f>
        <v>0.74325399999999997</v>
      </c>
      <c r="H11" s="111">
        <f>'18O Option 2 lit'!I4</f>
        <v>0.10717148336994237</v>
      </c>
      <c r="I11" s="111">
        <v>0.32819999999999999</v>
      </c>
      <c r="J11" s="112">
        <f>G11*$I$12/$G$12</f>
        <v>0.18567711715778065</v>
      </c>
      <c r="K11" s="113">
        <f t="shared" ref="K11:K39" si="6">H11*$I$12/$G$12</f>
        <v>2.6773205490524008E-2</v>
      </c>
      <c r="L11" s="127" t="s">
        <v>19</v>
      </c>
      <c r="M11" s="92" t="s">
        <v>10</v>
      </c>
      <c r="N11" s="92">
        <f>'18F norm Option 2 lit'!I8</f>
        <v>0.50502875614905518</v>
      </c>
      <c r="O11" s="92">
        <f>'18F norm Option 2 lit'!K8</f>
        <v>0.31671937986543069</v>
      </c>
      <c r="P11" s="92">
        <v>0.14710000000000001</v>
      </c>
      <c r="Q11" s="93">
        <f t="shared" si="0"/>
        <v>5.8959605193708443E-2</v>
      </c>
      <c r="R11">
        <f t="shared" si="1"/>
        <v>3.6975418462212445E-2</v>
      </c>
      <c r="S11">
        <v>0.21</v>
      </c>
      <c r="T11">
        <f t="shared" si="3"/>
        <v>1.6659130645161289</v>
      </c>
      <c r="U11">
        <f t="shared" si="2"/>
        <v>0.62713137818226239</v>
      </c>
      <c r="V11">
        <f>(G11-N11)/SQRT(H11*H11+O11*O11)</f>
        <v>0.71248038794399471</v>
      </c>
      <c r="W11">
        <f>N11/G11</f>
        <v>0.67948340156804432</v>
      </c>
      <c r="X11">
        <f>W11*SQRT(POWER((O11/N11),2)+POWER((H11/G11),2))</f>
        <v>0.43724383462485572</v>
      </c>
    </row>
    <row r="12" spans="1:25" x14ac:dyDescent="0.2">
      <c r="A12" s="131"/>
      <c r="B12" s="98" t="s">
        <v>11</v>
      </c>
      <c r="C12" s="98">
        <v>0.83</v>
      </c>
      <c r="D12" s="106">
        <f t="shared" si="4"/>
        <v>0.12449999999999999</v>
      </c>
      <c r="E12" s="106">
        <f>$G$12/$C$12*C12</f>
        <v>4.9184099999999997</v>
      </c>
      <c r="F12" s="106">
        <f t="shared" si="5"/>
        <v>0.73776149999999996</v>
      </c>
      <c r="G12" s="113">
        <f>'18O Option 2 lit'!G5</f>
        <v>4.9184099999999997</v>
      </c>
      <c r="H12" s="111">
        <f>'18O Option 2 lit'!I5</f>
        <v>0.24445529131853752</v>
      </c>
      <c r="I12" s="113">
        <v>1.2286999999999999</v>
      </c>
      <c r="J12" s="114">
        <f>G12*$I$12/$G$12</f>
        <v>1.2286999999999999</v>
      </c>
      <c r="K12" s="113">
        <f t="shared" si="6"/>
        <v>6.1068966687016141E-2</v>
      </c>
      <c r="L12" s="131"/>
      <c r="M12" s="98" t="s">
        <v>11</v>
      </c>
      <c r="N12" s="98">
        <f>'18F norm Option 2 lit'!I9</f>
        <v>4.9184099999999997</v>
      </c>
      <c r="O12" s="92">
        <f>'18F norm Option 2 lit'!K9</f>
        <v>1.0283056650510694</v>
      </c>
      <c r="P12" s="98">
        <v>0.57420000000000004</v>
      </c>
      <c r="Q12" s="99">
        <f t="shared" si="0"/>
        <v>0.57420000000000004</v>
      </c>
      <c r="R12">
        <f t="shared" si="1"/>
        <v>0.12004959181368045</v>
      </c>
      <c r="S12">
        <v>0.62</v>
      </c>
      <c r="T12">
        <f>$N$12/$S$12*S12</f>
        <v>4.9184099999999997</v>
      </c>
      <c r="U12">
        <f t="shared" si="2"/>
        <v>0.20907278267795271</v>
      </c>
      <c r="V12">
        <f>(G12-N12)/SQRT(H12*H12+O12*O12)</f>
        <v>0</v>
      </c>
      <c r="W12">
        <f t="shared" ref="W12:W32" si="7">N12/G12</f>
        <v>1</v>
      </c>
      <c r="X12">
        <f t="shared" ref="X12:X44" si="8">W12*SQRT(POWER((O12/N12),2)+POWER((H12/G12),2))</f>
        <v>0.21489934134669222</v>
      </c>
    </row>
    <row r="13" spans="1:25" ht="17" x14ac:dyDescent="0.2">
      <c r="D13" s="106"/>
      <c r="E13" s="106"/>
      <c r="F13" s="106"/>
      <c r="G13" s="90"/>
      <c r="H13" s="90"/>
      <c r="I13" s="90"/>
      <c r="J13" s="90"/>
      <c r="K13" s="113"/>
      <c r="L13" s="91" t="s">
        <v>21</v>
      </c>
      <c r="M13" s="92" t="s">
        <v>20</v>
      </c>
      <c r="N13" s="92"/>
      <c r="O13" s="92"/>
      <c r="P13" s="92">
        <v>8.6999999999999994E-2</v>
      </c>
      <c r="Q13" s="93"/>
      <c r="Y13" t="s">
        <v>73</v>
      </c>
    </row>
    <row r="14" spans="1:25" x14ac:dyDescent="0.2">
      <c r="D14" s="106"/>
      <c r="E14" s="106"/>
      <c r="F14" s="106"/>
      <c r="G14" s="90"/>
      <c r="H14" s="90"/>
      <c r="I14" s="90"/>
      <c r="J14" s="90"/>
      <c r="K14" s="113"/>
      <c r="L14" s="94"/>
      <c r="M14" t="s">
        <v>5</v>
      </c>
      <c r="P14">
        <v>9.8699999999999996E-2</v>
      </c>
      <c r="Q14" s="95"/>
    </row>
    <row r="15" spans="1:25" ht="17" x14ac:dyDescent="0.2">
      <c r="D15" s="106"/>
      <c r="E15" s="106"/>
      <c r="F15" s="106"/>
      <c r="G15" s="90"/>
      <c r="H15" s="90"/>
      <c r="I15" s="90"/>
      <c r="J15" s="90"/>
      <c r="K15" s="113"/>
      <c r="L15" s="96" t="s">
        <v>22</v>
      </c>
      <c r="M15" t="s">
        <v>10</v>
      </c>
      <c r="N15">
        <f>'18F norm Option 1'!H8</f>
        <v>2.2567190758009605</v>
      </c>
      <c r="O15">
        <f>'18F norm Option 1'!J8</f>
        <v>0.49585053737747803</v>
      </c>
      <c r="P15">
        <v>0.33560000000000001</v>
      </c>
      <c r="Q15" s="95">
        <f t="shared" si="0"/>
        <v>0.26346077153488867</v>
      </c>
      <c r="R15">
        <f t="shared" si="1"/>
        <v>5.7888093624189105E-2</v>
      </c>
      <c r="U15">
        <f t="shared" si="2"/>
        <v>0.21972187087641357</v>
      </c>
    </row>
    <row r="16" spans="1:25" x14ac:dyDescent="0.2">
      <c r="D16" s="106"/>
      <c r="E16" s="106"/>
      <c r="F16" s="106"/>
      <c r="G16" s="90"/>
      <c r="H16" s="90"/>
      <c r="I16" s="90"/>
      <c r="J16" s="90"/>
      <c r="K16" s="113"/>
      <c r="L16" s="96"/>
      <c r="M16" t="s">
        <v>18</v>
      </c>
      <c r="P16">
        <v>7.0300000000000001E-2</v>
      </c>
      <c r="Q16" s="95"/>
    </row>
    <row r="17" spans="1:24" x14ac:dyDescent="0.2">
      <c r="D17" s="106"/>
      <c r="E17" s="106"/>
      <c r="F17" s="106"/>
      <c r="G17" s="90"/>
      <c r="H17" s="90"/>
      <c r="I17" s="90"/>
      <c r="J17" s="90"/>
      <c r="K17" s="113"/>
      <c r="L17" s="97"/>
      <c r="M17" s="98" t="s">
        <v>11</v>
      </c>
      <c r="N17" s="98">
        <f>'18F norm Option 1'!H9</f>
        <v>4.4950648555103978</v>
      </c>
      <c r="O17" s="98">
        <f>'18F norm Option 1'!J9</f>
        <v>0.95576303443071298</v>
      </c>
      <c r="P17" s="98">
        <v>9.4999999999999998E-3</v>
      </c>
      <c r="Q17" s="99">
        <f t="shared" si="0"/>
        <v>0.52477655177873961</v>
      </c>
      <c r="R17">
        <f t="shared" si="1"/>
        <v>0.11158059908997327</v>
      </c>
      <c r="U17">
        <f t="shared" si="2"/>
        <v>0.21262497097434863</v>
      </c>
    </row>
    <row r="18" spans="1:24" x14ac:dyDescent="0.2">
      <c r="D18" s="106"/>
      <c r="E18" s="106"/>
      <c r="F18" s="106"/>
      <c r="G18" s="90"/>
      <c r="H18" s="90"/>
      <c r="I18" s="90"/>
      <c r="J18" s="90"/>
      <c r="K18" s="113"/>
      <c r="L18" s="127" t="s">
        <v>23</v>
      </c>
      <c r="M18" s="92" t="s">
        <v>7</v>
      </c>
      <c r="N18" s="92">
        <f>'18F norm Option 2 lit'!I12</f>
        <v>1.169099125639977</v>
      </c>
      <c r="O18" s="92">
        <f>'18F norm Option 2 lit'!K12</f>
        <v>0.39200123718697127</v>
      </c>
      <c r="P18" s="92">
        <v>0.13789999999999999</v>
      </c>
      <c r="Q18" s="93">
        <f t="shared" si="0"/>
        <v>0.13648653079805767</v>
      </c>
      <c r="R18">
        <f t="shared" si="1"/>
        <v>4.5764202332208771E-2</v>
      </c>
      <c r="S18">
        <v>0.17</v>
      </c>
      <c r="T18">
        <f>$N$12/$S$12*S18</f>
        <v>1.3485962903225808</v>
      </c>
      <c r="U18">
        <f t="shared" si="2"/>
        <v>0.33530196763459708</v>
      </c>
    </row>
    <row r="19" spans="1:24" x14ac:dyDescent="0.2">
      <c r="D19" s="106"/>
      <c r="E19" s="106"/>
      <c r="F19" s="106"/>
      <c r="G19" s="90"/>
      <c r="H19" s="90"/>
      <c r="I19" s="90"/>
      <c r="J19" s="90"/>
      <c r="K19" s="113"/>
      <c r="L19" s="128"/>
      <c r="M19" t="s">
        <v>14</v>
      </c>
      <c r="P19">
        <v>1.44E-2</v>
      </c>
      <c r="Q19" s="95"/>
    </row>
    <row r="20" spans="1:24" x14ac:dyDescent="0.2">
      <c r="D20" s="106"/>
      <c r="E20" s="106"/>
      <c r="F20" s="106"/>
      <c r="G20" s="90"/>
      <c r="H20" s="90"/>
      <c r="I20" s="90"/>
      <c r="J20" s="90"/>
      <c r="K20" s="113"/>
      <c r="L20" s="131"/>
      <c r="M20" s="98" t="s">
        <v>6</v>
      </c>
      <c r="N20" s="98">
        <f>'18F norm Option 2 lit'!I13</f>
        <v>6.181890495619129</v>
      </c>
      <c r="O20" s="98">
        <f>'18F norm Option 2 lit'!K13</f>
        <v>1.1091946835077204</v>
      </c>
      <c r="P20" s="98">
        <v>0.65269999999999995</v>
      </c>
      <c r="Q20" s="99">
        <f t="shared" si="0"/>
        <v>0.72170508814525514</v>
      </c>
      <c r="R20">
        <f t="shared" si="1"/>
        <v>0.12949298396639017</v>
      </c>
      <c r="S20">
        <v>0.68</v>
      </c>
      <c r="T20">
        <f>$N$12/$S$12*S20</f>
        <v>5.3943851612903231</v>
      </c>
      <c r="U20">
        <f t="shared" si="2"/>
        <v>0.17942645284541428</v>
      </c>
    </row>
    <row r="21" spans="1:24" x14ac:dyDescent="0.2">
      <c r="D21" s="106"/>
      <c r="E21" s="106"/>
      <c r="F21" s="106"/>
      <c r="G21" s="90"/>
      <c r="H21" s="90"/>
      <c r="I21" s="90"/>
      <c r="J21" s="90"/>
      <c r="K21" s="113"/>
      <c r="L21" s="102"/>
      <c r="M21" s="92" t="s">
        <v>20</v>
      </c>
      <c r="N21" s="92"/>
      <c r="O21" s="92"/>
      <c r="P21" s="92">
        <v>0.1908</v>
      </c>
      <c r="Q21" s="93"/>
    </row>
    <row r="22" spans="1:24" x14ac:dyDescent="0.2">
      <c r="D22" s="106"/>
      <c r="E22" s="106"/>
      <c r="F22" s="106"/>
      <c r="G22" s="90"/>
      <c r="H22" s="90"/>
      <c r="I22" s="90"/>
      <c r="J22" s="90"/>
      <c r="K22" s="113"/>
      <c r="L22" s="97" t="s">
        <v>24</v>
      </c>
      <c r="M22" s="98" t="s">
        <v>5</v>
      </c>
      <c r="N22" s="98">
        <f>'18F norm Option 2 lit'!I14</f>
        <v>1.3781042924825821</v>
      </c>
      <c r="O22" s="98">
        <f>'18F norm Option 2 lit'!K14</f>
        <v>0.46289723602264254</v>
      </c>
      <c r="P22" s="98">
        <v>0.186</v>
      </c>
      <c r="Q22" s="99">
        <f t="shared" si="0"/>
        <v>0.16088684854322816</v>
      </c>
      <c r="R22">
        <f t="shared" si="1"/>
        <v>5.4040958953035914E-2</v>
      </c>
      <c r="S22">
        <v>7.3999999999999996E-2</v>
      </c>
      <c r="T22">
        <f>$N$12/$S$12*S22</f>
        <v>0.58703603225806444</v>
      </c>
      <c r="U22">
        <f t="shared" si="2"/>
        <v>0.33589419795562614</v>
      </c>
    </row>
    <row r="23" spans="1:24" x14ac:dyDescent="0.2">
      <c r="D23" s="106"/>
      <c r="E23" s="106"/>
      <c r="F23" s="106"/>
      <c r="G23" s="90"/>
      <c r="H23" s="90"/>
      <c r="I23" s="90"/>
      <c r="J23" s="90"/>
      <c r="K23" s="113"/>
      <c r="L23" s="102" t="s">
        <v>25</v>
      </c>
      <c r="M23" s="92" t="s">
        <v>26</v>
      </c>
      <c r="N23" s="92"/>
      <c r="O23" s="92"/>
      <c r="P23" s="92">
        <v>3.49E-2</v>
      </c>
      <c r="Q23" s="93"/>
    </row>
    <row r="24" spans="1:24" x14ac:dyDescent="0.2">
      <c r="A24" s="102" t="s">
        <v>34</v>
      </c>
      <c r="B24" s="92" t="s">
        <v>12</v>
      </c>
      <c r="C24" s="92">
        <v>1.57</v>
      </c>
      <c r="D24" s="106">
        <f t="shared" si="4"/>
        <v>0.23549999999999999</v>
      </c>
      <c r="E24" s="106">
        <f>$G$12/$C$12*C24</f>
        <v>9.3034984337349407</v>
      </c>
      <c r="F24" s="106">
        <f t="shared" si="5"/>
        <v>1.3955247650602411</v>
      </c>
      <c r="G24" s="111">
        <f>'18O Option 2 lit'!G6</f>
        <v>8.2684207000000001</v>
      </c>
      <c r="H24" s="111">
        <f>'18O Option 2 lit'!I6</f>
        <v>1.3220240957837115</v>
      </c>
      <c r="I24" s="111">
        <v>1.8597999999999999</v>
      </c>
      <c r="J24" s="112">
        <f>G24*$I$12/$G$12</f>
        <v>2.0655879672678772</v>
      </c>
      <c r="K24" s="113">
        <f t="shared" si="6"/>
        <v>0.33026344011366399</v>
      </c>
      <c r="L24" s="103"/>
      <c r="M24" t="s">
        <v>12</v>
      </c>
      <c r="N24">
        <f>'18F norm Option 2 lit'!I15</f>
        <v>7.0153047639396187</v>
      </c>
      <c r="O24">
        <f>'18F norm Option 2 lit'!K15</f>
        <v>1.875493381034588</v>
      </c>
      <c r="P24">
        <v>0.92410000000000003</v>
      </c>
      <c r="Q24" s="95">
        <f t="shared" si="0"/>
        <v>0.81900207494985777</v>
      </c>
      <c r="R24">
        <f t="shared" si="1"/>
        <v>0.21895456039453004</v>
      </c>
      <c r="S24">
        <v>1.04</v>
      </c>
      <c r="T24">
        <f>$N$12/$S$12*S24</f>
        <v>8.2502361290322579</v>
      </c>
      <c r="U24">
        <f t="shared" si="2"/>
        <v>0.26734310826738167</v>
      </c>
      <c r="V24">
        <f t="shared" ref="V24:V31" si="9">(G24-N24)/SQRT(H24*H24+O24*O24)</f>
        <v>0.54611343737150353</v>
      </c>
      <c r="W24">
        <f t="shared" si="7"/>
        <v>0.84844555187420723</v>
      </c>
      <c r="X24">
        <f t="shared" si="8"/>
        <v>0.26429674096855549</v>
      </c>
    </row>
    <row r="25" spans="1:24" ht="17" x14ac:dyDescent="0.2">
      <c r="A25" s="100" t="s">
        <v>35</v>
      </c>
      <c r="B25" s="98" t="s">
        <v>8</v>
      </c>
      <c r="C25" s="98">
        <v>0.28000000000000003</v>
      </c>
      <c r="D25" s="106">
        <f t="shared" si="4"/>
        <v>4.2000000000000003E-2</v>
      </c>
      <c r="E25" s="106">
        <f>$G$12/$C$12*C25</f>
        <v>1.6592226506024099</v>
      </c>
      <c r="F25" s="106">
        <f t="shared" si="5"/>
        <v>0.24888339759036149</v>
      </c>
      <c r="G25" s="113">
        <f>'18O Option 2 lit'!G7</f>
        <v>1.4746228000000001</v>
      </c>
      <c r="H25" s="111">
        <f>'18O Option 2 lit'!I7</f>
        <v>0.23577499797416512</v>
      </c>
      <c r="I25" s="113"/>
      <c r="J25" s="114">
        <f>G25*$I$12/$G$12</f>
        <v>0.36838511518153222</v>
      </c>
      <c r="K25" s="113">
        <f t="shared" si="6"/>
        <v>5.8900486134920972E-2</v>
      </c>
      <c r="L25" s="104" t="s">
        <v>27</v>
      </c>
      <c r="M25" s="98" t="s">
        <v>8</v>
      </c>
      <c r="N25" s="98">
        <f>'18F norm Option 2 lit'!I16</f>
        <v>1.2141873629895492</v>
      </c>
      <c r="O25" s="98">
        <f>'18F norm Option 2 lit'!K16</f>
        <v>0.32460462364060161</v>
      </c>
      <c r="P25" s="98">
        <v>0.1794</v>
      </c>
      <c r="Q25" s="99">
        <f t="shared" si="0"/>
        <v>0.14175035912593689</v>
      </c>
      <c r="R25">
        <f t="shared" si="1"/>
        <v>3.7895981606745566E-2</v>
      </c>
      <c r="S25">
        <v>0.18</v>
      </c>
      <c r="T25">
        <f>$N$12/$S$12*S25</f>
        <v>1.4279254838709676</v>
      </c>
      <c r="U25">
        <f t="shared" si="2"/>
        <v>0.26734310826738161</v>
      </c>
      <c r="V25">
        <f t="shared" si="9"/>
        <v>0.64914808281115821</v>
      </c>
      <c r="W25">
        <f t="shared" si="7"/>
        <v>0.82338843736143852</v>
      </c>
      <c r="X25">
        <f t="shared" si="8"/>
        <v>0.25649127403061039</v>
      </c>
    </row>
    <row r="26" spans="1:24" x14ac:dyDescent="0.2">
      <c r="A26" s="127" t="s">
        <v>36</v>
      </c>
      <c r="B26" s="92" t="s">
        <v>10</v>
      </c>
      <c r="C26" s="92">
        <v>0.35</v>
      </c>
      <c r="D26" s="106">
        <f t="shared" si="4"/>
        <v>5.2499999999999998E-2</v>
      </c>
      <c r="E26" s="106">
        <f>$G$12/$C$12*C26</f>
        <v>2.0740283132530122</v>
      </c>
      <c r="F26" s="106">
        <f t="shared" si="5"/>
        <v>0.3111042469879518</v>
      </c>
      <c r="G26" s="111">
        <f>'18O Option 2 lit'!G8</f>
        <v>1.2651399999999999</v>
      </c>
      <c r="H26" s="111">
        <f>'18O Option 2 lit'!I8</f>
        <v>0.43678576450431567</v>
      </c>
      <c r="I26" s="111">
        <v>0.62080000000000002</v>
      </c>
      <c r="J26" s="112">
        <f>G26*$I$12/$G$12</f>
        <v>0.31605285407275929</v>
      </c>
      <c r="K26" s="113">
        <f t="shared" si="6"/>
        <v>0.10911629344573809</v>
      </c>
      <c r="L26" s="127" t="s">
        <v>28</v>
      </c>
      <c r="M26" s="92" t="s">
        <v>10</v>
      </c>
      <c r="N26" s="92">
        <f>'18F norm Option 2 lit'!I17</f>
        <v>1.2439844230444423</v>
      </c>
      <c r="O26" s="92">
        <f>'18F norm Option 2 lit'!K17</f>
        <v>0.49600336979921622</v>
      </c>
      <c r="P26" s="92">
        <v>0.33700000000000002</v>
      </c>
      <c r="Q26" s="93">
        <f t="shared" si="0"/>
        <v>0.14522901826243012</v>
      </c>
      <c r="R26">
        <f t="shared" si="1"/>
        <v>5.7905936052242486E-2</v>
      </c>
      <c r="S26">
        <v>0.17</v>
      </c>
      <c r="T26">
        <f>$N$12/$S$12*S26</f>
        <v>1.3485962903225808</v>
      </c>
      <c r="U26">
        <f t="shared" si="2"/>
        <v>0.39872152786715087</v>
      </c>
      <c r="V26">
        <f t="shared" si="9"/>
        <v>3.2009802082717455E-2</v>
      </c>
      <c r="W26">
        <f t="shared" si="7"/>
        <v>0.98327807439844006</v>
      </c>
      <c r="X26">
        <f t="shared" si="8"/>
        <v>0.51860283161046616</v>
      </c>
    </row>
    <row r="27" spans="1:24" x14ac:dyDescent="0.2">
      <c r="A27" s="131"/>
      <c r="B27" s="98" t="s">
        <v>11</v>
      </c>
      <c r="C27" s="98">
        <v>0.66</v>
      </c>
      <c r="D27" s="106">
        <f t="shared" si="4"/>
        <v>9.9000000000000005E-2</v>
      </c>
      <c r="E27" s="106">
        <f>$G$12/$C$12*C27</f>
        <v>3.9110248192771087</v>
      </c>
      <c r="F27" s="106">
        <f t="shared" si="5"/>
        <v>0.58665372289156625</v>
      </c>
      <c r="G27" s="113">
        <f>'18O Option 2 lit'!G9</f>
        <v>3.4860899999999999</v>
      </c>
      <c r="H27" s="111">
        <f>'18O Option 2 lit'!I9</f>
        <v>0.55106232587730664</v>
      </c>
      <c r="I27" s="113">
        <v>0.72740000000000005</v>
      </c>
      <c r="J27" s="114">
        <f>G27*$I$12/$G$12</f>
        <v>0.87088282249751447</v>
      </c>
      <c r="K27" s="113">
        <f t="shared" si="6"/>
        <v>0.13766446469599863</v>
      </c>
      <c r="L27" s="131"/>
      <c r="M27" s="98" t="s">
        <v>11</v>
      </c>
      <c r="N27" s="98">
        <f>'18F norm Option 2 lit'!I18</f>
        <v>3.7375152312493403</v>
      </c>
      <c r="O27" s="98">
        <f>'18F norm Option 2 lit'!K18</f>
        <v>0.80988843614557104</v>
      </c>
      <c r="P27" s="98">
        <v>0.39240000000000003</v>
      </c>
      <c r="Q27" s="99">
        <f t="shared" si="0"/>
        <v>0.43633638630845573</v>
      </c>
      <c r="R27">
        <f t="shared" si="1"/>
        <v>9.4550462453269854E-2</v>
      </c>
      <c r="S27">
        <v>0.51</v>
      </c>
      <c r="T27">
        <f>$N$12/$S$12*S27</f>
        <v>4.0457888709677423</v>
      </c>
      <c r="U27">
        <f t="shared" si="2"/>
        <v>0.21669167509314721</v>
      </c>
      <c r="V27">
        <f t="shared" si="9"/>
        <v>-0.25666475481903567</v>
      </c>
      <c r="W27">
        <f t="shared" si="7"/>
        <v>1.0721224154423266</v>
      </c>
      <c r="X27">
        <f t="shared" si="8"/>
        <v>0.28756646653896967</v>
      </c>
    </row>
    <row r="28" spans="1:24" x14ac:dyDescent="0.2">
      <c r="A28" s="127" t="s">
        <v>39</v>
      </c>
      <c r="B28" s="92" t="s">
        <v>10</v>
      </c>
      <c r="C28" s="92">
        <v>0.35</v>
      </c>
      <c r="D28" s="106">
        <f t="shared" si="4"/>
        <v>5.2499999999999998E-2</v>
      </c>
      <c r="E28" s="106">
        <f>$G$12/$C$12*C28</f>
        <v>2.0740283132530122</v>
      </c>
      <c r="F28" s="106">
        <f t="shared" si="5"/>
        <v>0.3111042469879518</v>
      </c>
      <c r="G28" s="111">
        <f>'18O Option 2 lit'!G10</f>
        <v>1.5525124999999997</v>
      </c>
      <c r="H28" s="111">
        <f>'18O Option 2 lit'!I10</f>
        <v>0.24245367754888389</v>
      </c>
      <c r="I28" s="111"/>
      <c r="J28" s="112">
        <f>G28*$I$12/$G$12</f>
        <v>0.38784324786872171</v>
      </c>
      <c r="K28" s="113">
        <f t="shared" si="6"/>
        <v>6.0568930529238847E-2</v>
      </c>
    </row>
    <row r="29" spans="1:24" x14ac:dyDescent="0.2">
      <c r="A29" s="128"/>
      <c r="B29" t="s">
        <v>18</v>
      </c>
      <c r="D29" s="106"/>
      <c r="E29" s="106"/>
      <c r="F29" s="106"/>
      <c r="G29" s="90"/>
      <c r="H29" s="90"/>
      <c r="I29" s="90"/>
      <c r="J29" s="115"/>
      <c r="K29" s="113"/>
    </row>
    <row r="30" spans="1:24" x14ac:dyDescent="0.2">
      <c r="A30" s="128"/>
      <c r="B30" t="s">
        <v>11</v>
      </c>
      <c r="D30" s="106"/>
      <c r="E30" s="106"/>
      <c r="F30" s="106"/>
      <c r="G30" s="90"/>
      <c r="H30" s="90"/>
      <c r="I30" s="90"/>
      <c r="J30" s="115"/>
      <c r="K30" s="113"/>
    </row>
    <row r="31" spans="1:24" x14ac:dyDescent="0.2">
      <c r="A31" s="94" t="s">
        <v>40</v>
      </c>
      <c r="B31" t="s">
        <v>8</v>
      </c>
      <c r="C31">
        <v>0.16</v>
      </c>
      <c r="D31" s="106">
        <f t="shared" si="4"/>
        <v>2.4E-2</v>
      </c>
      <c r="E31" s="106">
        <f>$G$12/$C$12*C31</f>
        <v>0.9481272289156627</v>
      </c>
      <c r="F31" s="106">
        <f t="shared" si="5"/>
        <v>0.14221908433734939</v>
      </c>
      <c r="G31" s="90">
        <f>'18O Option 2 lit'!G11</f>
        <v>0.70971999999999991</v>
      </c>
      <c r="H31" s="90">
        <f>'18O Option 2 lit'!I11</f>
        <v>0.11083596687948978</v>
      </c>
      <c r="I31" s="90"/>
      <c r="J31" s="115">
        <f>G31*$I$12/$G$12</f>
        <v>0.17729977045427281</v>
      </c>
      <c r="K31" s="113">
        <f t="shared" si="6"/>
        <v>2.7688653956223469E-2</v>
      </c>
      <c r="L31" s="92" t="s">
        <v>29</v>
      </c>
      <c r="M31" s="92" t="s">
        <v>8</v>
      </c>
      <c r="N31" s="92">
        <f>'18F norm Option 2 lit'!I24</f>
        <v>1.9470112424786234</v>
      </c>
      <c r="O31" s="92">
        <f>'18F norm Option 2 lit'!K19</f>
        <v>0.25725005957972208</v>
      </c>
      <c r="P31" s="92">
        <v>6.9199999999999998E-2</v>
      </c>
      <c r="Q31" s="93">
        <f t="shared" si="0"/>
        <v>0.22730391639396183</v>
      </c>
      <c r="R31">
        <f t="shared" si="1"/>
        <v>3.0032669950385685E-2</v>
      </c>
      <c r="U31">
        <f t="shared" si="2"/>
        <v>0.13212561590154581</v>
      </c>
      <c r="V31">
        <f t="shared" si="9"/>
        <v>-4.4171452999701799</v>
      </c>
      <c r="W31">
        <f t="shared" si="7"/>
        <v>2.7433512405999885</v>
      </c>
      <c r="X31">
        <f t="shared" si="8"/>
        <v>0.56118671006773435</v>
      </c>
    </row>
    <row r="32" spans="1:24" x14ac:dyDescent="0.2">
      <c r="A32" s="97" t="s">
        <v>41</v>
      </c>
      <c r="B32" s="98" t="s">
        <v>7</v>
      </c>
      <c r="C32" s="98">
        <v>1.01</v>
      </c>
      <c r="D32" s="106">
        <f t="shared" si="4"/>
        <v>0.1515</v>
      </c>
      <c r="E32" s="106">
        <f>$G$12/$C$12*C32</f>
        <v>5.9850531325301208</v>
      </c>
      <c r="F32" s="106">
        <f t="shared" si="5"/>
        <v>0.89775796987951806</v>
      </c>
      <c r="G32" s="113">
        <f>'18O Option 2 lit'!G12</f>
        <v>4.4801074999999999</v>
      </c>
      <c r="H32" s="113">
        <f>'18O Option 2 lit'!I12</f>
        <v>0.69965204092677924</v>
      </c>
      <c r="I32" s="113">
        <v>0.99</v>
      </c>
      <c r="J32" s="114">
        <f>G32*$I$12/$G$12</f>
        <v>1.1192048009925972</v>
      </c>
      <c r="K32" s="113">
        <f t="shared" si="6"/>
        <v>0.17478462809866069</v>
      </c>
      <c r="M32" t="s">
        <v>7</v>
      </c>
      <c r="N32">
        <f>'18F norm Option 2 lit'!I25</f>
        <v>6.678248561701678</v>
      </c>
      <c r="O32">
        <f>'18F norm Option 2 lit'!K25</f>
        <v>1.5711059469070627</v>
      </c>
      <c r="P32">
        <v>0.52900000000000003</v>
      </c>
      <c r="Q32" s="95">
        <f t="shared" si="0"/>
        <v>0.77965243323128897</v>
      </c>
      <c r="R32">
        <f t="shared" si="1"/>
        <v>0.18341883550050433</v>
      </c>
      <c r="U32">
        <f t="shared" si="2"/>
        <v>0.23525718343534233</v>
      </c>
      <c r="V32">
        <f>(G32-N32)/SQRT(H32*H32+O32*O32)</f>
        <v>-1.2780998353761297</v>
      </c>
      <c r="W32">
        <f>N32/G32</f>
        <v>1.4906447137042309</v>
      </c>
      <c r="X32">
        <f t="shared" si="8"/>
        <v>0.42091797181039392</v>
      </c>
    </row>
    <row r="33" spans="1:24" x14ac:dyDescent="0.2">
      <c r="D33" s="106"/>
      <c r="E33" s="106"/>
      <c r="F33" s="106"/>
      <c r="G33" s="90"/>
      <c r="H33" s="90"/>
      <c r="I33" s="90"/>
      <c r="J33" s="90"/>
      <c r="K33" s="113"/>
      <c r="L33" s="94"/>
      <c r="M33" t="s">
        <v>14</v>
      </c>
      <c r="P33">
        <v>3.7000000000000002E-3</v>
      </c>
      <c r="Q33" s="95"/>
    </row>
    <row r="34" spans="1:24" x14ac:dyDescent="0.2">
      <c r="D34" s="106"/>
      <c r="E34" s="106"/>
      <c r="F34" s="106"/>
      <c r="G34" s="90"/>
      <c r="H34" s="90"/>
      <c r="I34" s="90"/>
      <c r="J34" s="90"/>
      <c r="K34" s="113"/>
      <c r="L34" s="97" t="s">
        <v>30</v>
      </c>
      <c r="M34" s="98" t="s">
        <v>6</v>
      </c>
      <c r="N34" s="98"/>
      <c r="O34" s="98"/>
      <c r="P34" s="98">
        <v>2.9999999999999997E-4</v>
      </c>
      <c r="Q34" s="99"/>
    </row>
    <row r="35" spans="1:24" x14ac:dyDescent="0.2">
      <c r="D35" s="106"/>
      <c r="E35" s="106"/>
      <c r="F35" s="106"/>
      <c r="G35" s="90"/>
      <c r="H35" s="90"/>
      <c r="I35" s="90"/>
      <c r="J35" s="90"/>
      <c r="K35" s="113"/>
      <c r="L35" s="117" t="s">
        <v>79</v>
      </c>
      <c r="M35" s="98" t="s">
        <v>10</v>
      </c>
      <c r="N35" s="98">
        <f>'18F norm Option 2 lit'!I21</f>
        <v>0</v>
      </c>
      <c r="O35" s="98">
        <f>'18F norm Option 2 lit'!K21</f>
        <v>0</v>
      </c>
      <c r="P35" s="98"/>
      <c r="Q35" s="99"/>
      <c r="R35">
        <f t="shared" si="1"/>
        <v>0</v>
      </c>
    </row>
    <row r="36" spans="1:24" ht="34" x14ac:dyDescent="0.2">
      <c r="D36" s="106"/>
      <c r="E36" s="106"/>
      <c r="F36" s="106"/>
      <c r="G36" s="90"/>
      <c r="H36" s="90"/>
      <c r="I36" s="90"/>
      <c r="J36" s="90"/>
      <c r="K36" s="113"/>
      <c r="L36" s="105" t="s">
        <v>31</v>
      </c>
      <c r="M36" s="106" t="s">
        <v>13</v>
      </c>
      <c r="N36" s="106">
        <f>'18F norm Option 2 SM'!E28</f>
        <v>2.7525564402099247</v>
      </c>
      <c r="O36" s="106">
        <f>'18F norm Option 2 SM'!F28</f>
        <v>0.103809</v>
      </c>
      <c r="P36" s="106"/>
      <c r="Q36" s="107">
        <f t="shared" si="0"/>
        <v>0.32134732728026721</v>
      </c>
      <c r="R36">
        <f t="shared" si="1"/>
        <v>1.2119186444399717E-2</v>
      </c>
      <c r="U36">
        <f t="shared" si="2"/>
        <v>3.7713668095424403E-2</v>
      </c>
    </row>
    <row r="37" spans="1:24" x14ac:dyDescent="0.2">
      <c r="A37" s="102" t="s">
        <v>43</v>
      </c>
      <c r="B37" s="92" t="s">
        <v>42</v>
      </c>
      <c r="C37" s="92"/>
      <c r="D37" s="106"/>
      <c r="E37" s="106"/>
      <c r="F37" s="106"/>
      <c r="G37" s="111">
        <f>'18O Option 2 lit'!G13</f>
        <v>0.28774300000000003</v>
      </c>
      <c r="H37" s="111">
        <f>'18O Option 2 lit'!H13</f>
        <v>3.6374200000000002E-2</v>
      </c>
      <c r="I37" s="111"/>
      <c r="J37" s="112">
        <f>G37*$I$12/$G$12</f>
        <v>7.1882950811339441E-2</v>
      </c>
      <c r="K37" s="113">
        <f t="shared" si="6"/>
        <v>9.0868755431125093E-3</v>
      </c>
      <c r="Q37" s="107">
        <f t="shared" si="0"/>
        <v>0</v>
      </c>
    </row>
    <row r="38" spans="1:24" x14ac:dyDescent="0.2">
      <c r="A38" s="97"/>
      <c r="B38" s="98" t="s">
        <v>26</v>
      </c>
      <c r="C38" s="98"/>
      <c r="D38" s="106"/>
      <c r="E38" s="106"/>
      <c r="F38" s="106"/>
      <c r="G38" s="113"/>
      <c r="H38" s="113"/>
      <c r="I38" s="113">
        <v>0.92989999999999995</v>
      </c>
      <c r="J38" s="114"/>
      <c r="K38" s="113"/>
      <c r="L38" t="s">
        <v>93</v>
      </c>
      <c r="N38">
        <v>0.28289999999999998</v>
      </c>
      <c r="Q38" s="107">
        <f t="shared" si="0"/>
        <v>3.3027173415799006E-2</v>
      </c>
    </row>
    <row r="39" spans="1:24" x14ac:dyDescent="0.2">
      <c r="A39" s="108" t="s">
        <v>44</v>
      </c>
      <c r="B39" s="106" t="s">
        <v>12</v>
      </c>
      <c r="C39" s="106"/>
      <c r="D39" s="106"/>
      <c r="E39" s="106"/>
      <c r="F39" s="106"/>
      <c r="G39" s="109">
        <f>'18O Option 2 lit'!G14</f>
        <v>0.28167199999999998</v>
      </c>
      <c r="H39" s="109">
        <f>'18O Option 2 lit'!H14</f>
        <v>2.2748000000000001E-2</v>
      </c>
      <c r="I39" s="109">
        <v>0.14019999999999999</v>
      </c>
      <c r="J39" s="110">
        <f>G39*$I$12/$G$12</f>
        <v>7.0366314804987784E-2</v>
      </c>
      <c r="K39" s="113">
        <f t="shared" si="6"/>
        <v>5.6828258725889055E-3</v>
      </c>
      <c r="L39" t="s">
        <v>92</v>
      </c>
      <c r="N39">
        <v>0.33</v>
      </c>
      <c r="Q39" s="107">
        <f t="shared" si="0"/>
        <v>3.8525865066149433E-2</v>
      </c>
    </row>
    <row r="41" spans="1:24" x14ac:dyDescent="0.2">
      <c r="L41" s="155"/>
      <c r="M41" s="155"/>
      <c r="N41" s="155"/>
      <c r="O41" s="155"/>
      <c r="P41" s="155"/>
      <c r="Q41" s="155"/>
      <c r="R41" s="155"/>
      <c r="S41" s="155"/>
    </row>
    <row r="42" spans="1:24" x14ac:dyDescent="0.2">
      <c r="A42" s="153" t="s">
        <v>101</v>
      </c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5"/>
      <c r="M42" s="155"/>
      <c r="N42" s="155"/>
      <c r="O42" s="155"/>
      <c r="P42" s="155"/>
      <c r="Q42" s="155"/>
      <c r="R42" s="155"/>
      <c r="S42" s="155"/>
    </row>
    <row r="43" spans="1:24" ht="16" customHeight="1" x14ac:dyDescent="0.2">
      <c r="A43" s="158"/>
      <c r="B43" s="153"/>
      <c r="C43" s="153"/>
      <c r="D43" s="153"/>
      <c r="E43" s="153"/>
      <c r="F43" s="153"/>
      <c r="G43" s="153" t="s">
        <v>47</v>
      </c>
      <c r="H43" t="s">
        <v>78</v>
      </c>
      <c r="I43" s="159"/>
      <c r="J43" s="159"/>
      <c r="K43" s="159"/>
      <c r="L43" s="155"/>
      <c r="M43" s="155"/>
      <c r="N43" s="155" t="s">
        <v>54</v>
      </c>
      <c r="O43" t="s">
        <v>78</v>
      </c>
      <c r="P43" s="155"/>
      <c r="Q43" s="155"/>
      <c r="R43" s="155"/>
      <c r="S43" s="155"/>
      <c r="V43" t="s">
        <v>100</v>
      </c>
    </row>
    <row r="44" spans="1:24" x14ac:dyDescent="0.2">
      <c r="A44" s="102" t="s">
        <v>34</v>
      </c>
      <c r="B44" s="92" t="s">
        <v>12</v>
      </c>
      <c r="C44" s="153"/>
      <c r="D44" s="153"/>
      <c r="E44" s="153"/>
      <c r="F44" s="153"/>
      <c r="G44" s="153">
        <f>'18O Option 1'!G6</f>
        <v>8.4322099999999995</v>
      </c>
      <c r="H44" s="153">
        <f>'18O Option 1'!I6</f>
        <v>0.46677488986783022</v>
      </c>
      <c r="I44" s="153"/>
      <c r="J44" s="153"/>
      <c r="L44" s="102" t="s">
        <v>25</v>
      </c>
      <c r="M44" s="92" t="s">
        <v>12</v>
      </c>
      <c r="N44" s="155">
        <f>'18F norm Option 1'!H13</f>
        <v>7.1501067363163733</v>
      </c>
      <c r="O44" s="155">
        <f>'18F norm Option 1'!J13</f>
        <v>1.2684673643870159</v>
      </c>
      <c r="P44" s="155"/>
      <c r="Q44" s="155"/>
      <c r="R44" s="155"/>
      <c r="S44" s="155"/>
      <c r="V44">
        <f>(G44-N44)/SQRT(H44*H44+O44*O44)</f>
        <v>0.94856482107387652</v>
      </c>
      <c r="W44">
        <f>N44/G44</f>
        <v>0.84795169194272602</v>
      </c>
      <c r="X44">
        <f>W44*SQRT(POWER((O44/N44),2)+POWER((H44/G44),2))</f>
        <v>0.15758440883278385</v>
      </c>
    </row>
    <row r="45" spans="1:24" ht="17" x14ac:dyDescent="0.2">
      <c r="A45" s="100" t="s">
        <v>35</v>
      </c>
      <c r="B45" s="153"/>
      <c r="C45" s="153"/>
      <c r="D45" s="153"/>
      <c r="E45" s="153"/>
      <c r="F45" s="153"/>
      <c r="G45" s="153"/>
      <c r="H45" s="153"/>
      <c r="I45" s="159"/>
      <c r="J45" s="159"/>
      <c r="L45" s="104" t="s">
        <v>27</v>
      </c>
      <c r="M45" s="155"/>
      <c r="N45" s="155"/>
      <c r="O45" s="155"/>
      <c r="P45" s="155"/>
      <c r="Q45" s="155"/>
      <c r="R45" s="155"/>
      <c r="S45" s="155"/>
    </row>
    <row r="46" spans="1:24" x14ac:dyDescent="0.2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</row>
    <row r="47" spans="1:24" x14ac:dyDescent="0.2">
      <c r="A47" s="160"/>
      <c r="B47" s="153"/>
      <c r="C47" s="153"/>
      <c r="D47" s="153"/>
      <c r="E47" s="153"/>
      <c r="F47" s="153"/>
      <c r="G47" s="153"/>
      <c r="H47" s="153"/>
      <c r="I47" s="159"/>
      <c r="J47" s="159"/>
      <c r="K47" s="159"/>
    </row>
    <row r="48" spans="1:24" x14ac:dyDescent="0.2">
      <c r="A48" s="160"/>
      <c r="B48" s="153"/>
      <c r="C48" s="153"/>
      <c r="D48" s="153"/>
      <c r="E48" s="153"/>
      <c r="F48" s="153"/>
      <c r="G48" s="153"/>
      <c r="H48" s="153"/>
      <c r="I48" s="159"/>
      <c r="J48" s="159"/>
      <c r="K48" s="159"/>
    </row>
    <row r="49" spans="1:11" x14ac:dyDescent="0.2">
      <c r="A49" s="160"/>
      <c r="B49" s="153"/>
      <c r="C49" s="153"/>
      <c r="D49" s="153"/>
      <c r="E49" s="153"/>
      <c r="F49" s="153"/>
      <c r="G49" s="153"/>
      <c r="H49" s="153"/>
      <c r="I49" s="159"/>
      <c r="J49" s="159"/>
      <c r="K49" s="159"/>
    </row>
    <row r="50" spans="1:11" x14ac:dyDescent="0.2">
      <c r="A50" s="153"/>
      <c r="B50" s="153"/>
      <c r="C50" s="153"/>
      <c r="D50" s="153"/>
      <c r="E50" s="153"/>
      <c r="F50" s="153"/>
      <c r="G50" s="153"/>
      <c r="H50" s="153"/>
      <c r="I50" s="159"/>
      <c r="J50" s="159"/>
      <c r="K50" s="159"/>
    </row>
    <row r="51" spans="1:11" x14ac:dyDescent="0.2">
      <c r="A51" s="160"/>
      <c r="B51" s="153"/>
      <c r="C51" s="153"/>
      <c r="D51" s="153"/>
      <c r="E51" s="153"/>
      <c r="F51" s="153"/>
      <c r="G51" s="153"/>
      <c r="H51" s="153"/>
      <c r="I51" s="159"/>
      <c r="J51" s="159"/>
      <c r="K51" s="159"/>
    </row>
    <row r="52" spans="1:11" x14ac:dyDescent="0.2">
      <c r="A52" s="153"/>
      <c r="B52" s="153"/>
      <c r="C52" s="153"/>
      <c r="D52" s="153"/>
      <c r="E52" s="153"/>
      <c r="F52" s="153"/>
      <c r="G52" s="153"/>
      <c r="H52" s="153"/>
      <c r="I52" s="159"/>
      <c r="J52" s="159"/>
      <c r="K52" s="153"/>
    </row>
    <row r="53" spans="1:11" x14ac:dyDescent="0.2">
      <c r="A53" s="153"/>
      <c r="B53" s="153"/>
      <c r="C53" s="153"/>
      <c r="D53" s="153"/>
      <c r="E53" s="153"/>
      <c r="F53" s="153"/>
      <c r="G53" s="153"/>
      <c r="H53" s="153"/>
      <c r="I53" s="159"/>
      <c r="J53" s="153"/>
      <c r="K53" s="153"/>
    </row>
    <row r="54" spans="1:11" x14ac:dyDescent="0.2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</row>
    <row r="55" spans="1:11" x14ac:dyDescent="0.2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</row>
    <row r="56" spans="1:11" x14ac:dyDescent="0.2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</row>
  </sheetData>
  <mergeCells count="7">
    <mergeCell ref="A28:A30"/>
    <mergeCell ref="L6:L8"/>
    <mergeCell ref="L11:L12"/>
    <mergeCell ref="L18:L20"/>
    <mergeCell ref="L26:L27"/>
    <mergeCell ref="A11:A12"/>
    <mergeCell ref="A26:A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407E-2C20-1145-AC1B-F17AB55E2580}">
  <dimension ref="B2:L34"/>
  <sheetViews>
    <sheetView topLeftCell="A3" zoomScale="120" zoomScaleNormal="120" workbookViewId="0">
      <selection activeCell="B35" sqref="B35"/>
    </sheetView>
  </sheetViews>
  <sheetFormatPr baseColWidth="10" defaultRowHeight="16" x14ac:dyDescent="0.2"/>
  <sheetData>
    <row r="2" spans="2:12" ht="17" thickBot="1" x14ac:dyDescent="0.25">
      <c r="D2" t="s">
        <v>47</v>
      </c>
      <c r="E2" t="s">
        <v>54</v>
      </c>
      <c r="F2" t="s">
        <v>0</v>
      </c>
      <c r="G2" t="s">
        <v>1</v>
      </c>
      <c r="H2" t="s">
        <v>76</v>
      </c>
      <c r="I2" t="s">
        <v>33</v>
      </c>
      <c r="J2" t="s">
        <v>3</v>
      </c>
      <c r="K2" t="s">
        <v>0</v>
      </c>
      <c r="L2" t="s">
        <v>46</v>
      </c>
    </row>
    <row r="3" spans="2:12" ht="17" thickBot="1" x14ac:dyDescent="0.25">
      <c r="B3" s="69" t="s">
        <v>4</v>
      </c>
      <c r="C3" s="2" t="s">
        <v>20</v>
      </c>
      <c r="D3" s="2">
        <v>2.3270200000000001</v>
      </c>
      <c r="E3" s="35">
        <f t="shared" ref="E3:E27" si="0">D3*$D$31</f>
        <v>7.9657627397373192</v>
      </c>
      <c r="F3" s="2">
        <v>0.32842500000000002</v>
      </c>
      <c r="G3" s="3">
        <v>0.870116</v>
      </c>
      <c r="L3" t="s">
        <v>48</v>
      </c>
    </row>
    <row r="4" spans="2:12" ht="17" customHeight="1" thickBot="1" x14ac:dyDescent="0.25">
      <c r="B4" s="124" t="s">
        <v>15</v>
      </c>
      <c r="C4" s="54" t="s">
        <v>7</v>
      </c>
      <c r="D4" s="54">
        <f>I4*J4</f>
        <v>0.53477599500000006</v>
      </c>
      <c r="E4" s="55">
        <f t="shared" si="0"/>
        <v>1.8306240148674919</v>
      </c>
      <c r="F4" s="54">
        <f>I4*K4</f>
        <v>2.4061307399999999E-2</v>
      </c>
      <c r="G4" s="54">
        <v>158.19300000000001</v>
      </c>
      <c r="H4" s="54">
        <v>14.3811</v>
      </c>
      <c r="I4" s="54">
        <v>0.3211</v>
      </c>
      <c r="J4" s="54">
        <v>1.6654500000000001</v>
      </c>
      <c r="K4" s="56">
        <v>7.4934000000000001E-2</v>
      </c>
    </row>
    <row r="5" spans="2:12" ht="17" customHeight="1" thickBot="1" x14ac:dyDescent="0.25">
      <c r="B5" s="126"/>
      <c r="C5" s="27" t="s">
        <v>60</v>
      </c>
      <c r="D5" s="27">
        <f t="shared" ref="D5:D8" si="1">I5*J5</f>
        <v>4.8964230000000004E-2</v>
      </c>
      <c r="E5" s="40">
        <f t="shared" si="0"/>
        <v>0.16761241369387811</v>
      </c>
      <c r="F5" s="27">
        <f t="shared" ref="F5:F8" si="2">I5*K5</f>
        <v>2.2030596E-3</v>
      </c>
      <c r="G5" s="27">
        <v>158.19300000000001</v>
      </c>
      <c r="H5" s="54">
        <v>14.3811</v>
      </c>
      <c r="I5" s="27">
        <v>2.9399999999999999E-2</v>
      </c>
      <c r="J5" s="27">
        <v>1.6654500000000001</v>
      </c>
      <c r="K5" s="28">
        <v>7.4934000000000001E-2</v>
      </c>
    </row>
    <row r="6" spans="2:12" ht="17" thickBot="1" x14ac:dyDescent="0.25">
      <c r="B6" s="126"/>
      <c r="C6" s="27" t="s">
        <v>58</v>
      </c>
      <c r="D6" s="27">
        <f t="shared" si="1"/>
        <v>0.43967880000000004</v>
      </c>
      <c r="E6" s="40">
        <f t="shared" si="0"/>
        <v>1.5050910617409463</v>
      </c>
      <c r="F6" s="27">
        <f t="shared" si="2"/>
        <v>1.9782576E-2</v>
      </c>
      <c r="G6" s="27">
        <v>158.19300000000001</v>
      </c>
      <c r="H6" s="54">
        <v>14.3811</v>
      </c>
      <c r="I6" s="27">
        <v>0.26400000000000001</v>
      </c>
      <c r="J6" s="27">
        <v>1.6654500000000001</v>
      </c>
      <c r="K6" s="28">
        <v>7.4934000000000001E-2</v>
      </c>
    </row>
    <row r="7" spans="2:12" ht="18" thickBot="1" x14ac:dyDescent="0.25">
      <c r="B7" s="62" t="s">
        <v>16</v>
      </c>
      <c r="C7" s="27" t="s">
        <v>8</v>
      </c>
      <c r="D7" s="27">
        <f t="shared" si="1"/>
        <v>1.2514191299999999</v>
      </c>
      <c r="E7" s="40">
        <f t="shared" si="0"/>
        <v>4.2838084234551017</v>
      </c>
      <c r="F7" s="27">
        <f t="shared" si="2"/>
        <v>5.6305407599999996E-2</v>
      </c>
      <c r="G7" s="27">
        <v>158.19300000000001</v>
      </c>
      <c r="H7" s="54">
        <v>14.3811</v>
      </c>
      <c r="I7" s="27">
        <v>0.75139999999999996</v>
      </c>
      <c r="J7" s="27">
        <v>1.6654500000000001</v>
      </c>
      <c r="K7" s="28">
        <v>7.4934000000000001E-2</v>
      </c>
    </row>
    <row r="8" spans="2:12" ht="17" thickBot="1" x14ac:dyDescent="0.25">
      <c r="B8" s="59" t="s">
        <v>17</v>
      </c>
      <c r="C8" s="30" t="s">
        <v>9</v>
      </c>
      <c r="D8" s="30">
        <f t="shared" si="1"/>
        <v>1.6654500000000001</v>
      </c>
      <c r="E8" s="41">
        <f t="shared" si="0"/>
        <v>5.701102506594494</v>
      </c>
      <c r="F8" s="30">
        <f t="shared" si="2"/>
        <v>7.4934000000000001E-2</v>
      </c>
      <c r="G8" s="30">
        <v>158.19300000000001</v>
      </c>
      <c r="H8" s="54">
        <v>14.3811</v>
      </c>
      <c r="I8" s="30">
        <v>1</v>
      </c>
      <c r="J8" s="30">
        <v>1.6654500000000001</v>
      </c>
      <c r="K8" s="31">
        <v>7.4934000000000001E-2</v>
      </c>
    </row>
    <row r="9" spans="2:12" x14ac:dyDescent="0.2">
      <c r="B9" s="122" t="s">
        <v>19</v>
      </c>
      <c r="C9" t="s">
        <v>10</v>
      </c>
      <c r="D9">
        <v>0.17736399999999999</v>
      </c>
      <c r="E9" s="33">
        <f t="shared" si="0"/>
        <v>0.60714542314667252</v>
      </c>
      <c r="F9">
        <v>4.4671700000000002E-2</v>
      </c>
      <c r="G9" s="4">
        <v>31.5443</v>
      </c>
      <c r="H9">
        <v>4.3747400000000001</v>
      </c>
      <c r="L9" t="s">
        <v>48</v>
      </c>
    </row>
    <row r="10" spans="2:12" ht="17" thickBot="1" x14ac:dyDescent="0.25">
      <c r="B10" s="122"/>
      <c r="C10" t="s">
        <v>11</v>
      </c>
      <c r="D10">
        <v>1.4557599999999999</v>
      </c>
      <c r="E10" s="33">
        <f t="shared" si="0"/>
        <v>4.9832999999999998</v>
      </c>
      <c r="F10">
        <v>0.12048</v>
      </c>
      <c r="G10" s="4">
        <v>31.5443</v>
      </c>
      <c r="H10">
        <v>4.3747400000000001</v>
      </c>
    </row>
    <row r="11" spans="2:12" ht="16" customHeight="1" thickBot="1" x14ac:dyDescent="0.25">
      <c r="B11" s="60" t="s">
        <v>21</v>
      </c>
      <c r="C11" s="17" t="s">
        <v>20</v>
      </c>
      <c r="D11" s="17">
        <f>I11*J11</f>
        <v>0.25210164000000002</v>
      </c>
      <c r="E11" s="37">
        <f t="shared" si="0"/>
        <v>0.86298435361048531</v>
      </c>
      <c r="F11" s="17">
        <f>I11*K11</f>
        <v>1.5407612999999999E-2</v>
      </c>
      <c r="G11" s="17">
        <v>21.929400000000001</v>
      </c>
      <c r="H11" s="17">
        <v>2.7411699999999999</v>
      </c>
      <c r="I11" s="17">
        <v>8.6999999999999994E-2</v>
      </c>
      <c r="J11" s="17">
        <v>2.8977200000000001</v>
      </c>
      <c r="K11" s="18">
        <v>0.17709900000000001</v>
      </c>
    </row>
    <row r="12" spans="2:12" ht="17" thickBot="1" x14ac:dyDescent="0.25">
      <c r="B12" s="86"/>
      <c r="C12" s="19" t="s">
        <v>5</v>
      </c>
      <c r="D12" s="19">
        <f t="shared" ref="D12:D15" si="3">I12*J12</f>
        <v>0.28600496399999997</v>
      </c>
      <c r="E12" s="38">
        <f t="shared" si="0"/>
        <v>0.97904087013051588</v>
      </c>
      <c r="F12" s="19">
        <f t="shared" ref="F12:F15" si="4">I12*K12</f>
        <v>1.7479671299999999E-2</v>
      </c>
      <c r="G12" s="19">
        <v>21.929400000000001</v>
      </c>
      <c r="H12" s="17">
        <v>2.7411699999999999</v>
      </c>
      <c r="I12" s="19">
        <v>9.8699999999999996E-2</v>
      </c>
      <c r="J12" s="19">
        <v>2.8977200000000001</v>
      </c>
      <c r="K12" s="20">
        <v>0.17709900000000001</v>
      </c>
    </row>
    <row r="13" spans="2:12" ht="18" thickBot="1" x14ac:dyDescent="0.25">
      <c r="B13" s="85" t="s">
        <v>22</v>
      </c>
      <c r="C13" s="19" t="s">
        <v>10</v>
      </c>
      <c r="D13" s="19">
        <f t="shared" si="3"/>
        <v>0.97247483200000007</v>
      </c>
      <c r="E13" s="38">
        <f t="shared" si="0"/>
        <v>3.328937345651481</v>
      </c>
      <c r="F13" s="19">
        <f t="shared" si="4"/>
        <v>5.9434424400000005E-2</v>
      </c>
      <c r="G13" s="19">
        <v>21.929400000000001</v>
      </c>
      <c r="H13" s="17">
        <v>2.7411699999999999</v>
      </c>
      <c r="I13" s="19">
        <v>0.33560000000000001</v>
      </c>
      <c r="J13" s="19">
        <v>2.8977200000000001</v>
      </c>
      <c r="K13" s="20">
        <v>0.17709900000000001</v>
      </c>
    </row>
    <row r="14" spans="2:12" ht="17" thickBot="1" x14ac:dyDescent="0.25">
      <c r="B14" s="85"/>
      <c r="C14" s="19" t="s">
        <v>18</v>
      </c>
      <c r="D14" s="19">
        <f t="shared" si="3"/>
        <v>0.20370971600000001</v>
      </c>
      <c r="E14" s="38">
        <f t="shared" si="0"/>
        <v>0.69733103515881745</v>
      </c>
      <c r="F14" s="19">
        <f t="shared" si="4"/>
        <v>1.24500597E-2</v>
      </c>
      <c r="G14" s="19">
        <v>21.929400000000001</v>
      </c>
      <c r="H14" s="17">
        <v>2.7411699999999999</v>
      </c>
      <c r="I14" s="19">
        <v>7.0300000000000001E-2</v>
      </c>
      <c r="J14" s="19">
        <v>2.8977200000000001</v>
      </c>
      <c r="K14" s="20">
        <v>0.17709900000000001</v>
      </c>
    </row>
    <row r="15" spans="2:12" ht="17" thickBot="1" x14ac:dyDescent="0.25">
      <c r="B15" s="21"/>
      <c r="C15" s="22" t="s">
        <v>11</v>
      </c>
      <c r="D15" s="22">
        <f t="shared" si="3"/>
        <v>2.7528339999999998E-2</v>
      </c>
      <c r="E15" s="39">
        <f t="shared" si="0"/>
        <v>9.423392367011045E-2</v>
      </c>
      <c r="F15" s="22">
        <f t="shared" si="4"/>
        <v>1.6824405000000001E-3</v>
      </c>
      <c r="G15" s="22">
        <v>21.929400000000001</v>
      </c>
      <c r="H15" s="17">
        <v>2.7411699999999999</v>
      </c>
      <c r="I15" s="22">
        <v>9.4999999999999998E-3</v>
      </c>
      <c r="J15" s="22">
        <v>2.8977200000000001</v>
      </c>
      <c r="K15" s="23">
        <v>0.17709900000000001</v>
      </c>
    </row>
    <row r="16" spans="2:12" x14ac:dyDescent="0.2">
      <c r="B16" s="122" t="s">
        <v>23</v>
      </c>
      <c r="C16" t="s">
        <v>7</v>
      </c>
      <c r="D16">
        <v>0.36342999999999998</v>
      </c>
      <c r="E16" s="33">
        <f t="shared" si="0"/>
        <v>1.244079188190361</v>
      </c>
      <c r="F16">
        <v>5.6393199999999997E-2</v>
      </c>
      <c r="G16" s="4">
        <v>21.1067</v>
      </c>
      <c r="H16">
        <v>3.02854</v>
      </c>
      <c r="L16" t="s">
        <v>48</v>
      </c>
    </row>
    <row r="17" spans="2:12" ht="17" thickBot="1" x14ac:dyDescent="0.25">
      <c r="B17" s="119"/>
      <c r="C17" s="6" t="s">
        <v>6</v>
      </c>
      <c r="D17" s="6">
        <v>1.8707499999999999</v>
      </c>
      <c r="E17" s="34">
        <f t="shared" si="0"/>
        <v>6.4038773389844472</v>
      </c>
      <c r="F17" s="6">
        <v>0.114702</v>
      </c>
      <c r="G17" s="7">
        <v>21.1067</v>
      </c>
      <c r="H17">
        <v>3.02854</v>
      </c>
    </row>
    <row r="18" spans="2:12" ht="17" thickBot="1" x14ac:dyDescent="0.25">
      <c r="B18" s="1" t="s">
        <v>24</v>
      </c>
      <c r="C18" s="2" t="s">
        <v>5</v>
      </c>
      <c r="D18" s="2">
        <v>0.45706400000000003</v>
      </c>
      <c r="E18" s="35">
        <f t="shared" si="0"/>
        <v>1.5646033901192504</v>
      </c>
      <c r="F18" s="2">
        <v>8.3333199999999996E-2</v>
      </c>
      <c r="G18" s="3">
        <v>15.232100000000001</v>
      </c>
      <c r="H18">
        <v>3.06196</v>
      </c>
      <c r="L18" t="s">
        <v>48</v>
      </c>
    </row>
    <row r="19" spans="2:12" ht="17" thickBot="1" x14ac:dyDescent="0.25">
      <c r="B19" s="70" t="s">
        <v>25</v>
      </c>
      <c r="C19" s="48" t="s">
        <v>26</v>
      </c>
      <c r="D19" s="48">
        <f>I19*J19</f>
        <v>8.0849340000000006E-2</v>
      </c>
      <c r="E19" s="57">
        <f t="shared" si="0"/>
        <v>0.27676025994806835</v>
      </c>
      <c r="F19" s="48">
        <f>I19*K19</f>
        <v>2.4430000000000003E-3</v>
      </c>
      <c r="G19" s="48">
        <v>58.458599999999997</v>
      </c>
      <c r="H19" s="48">
        <v>8.3512299999999993</v>
      </c>
      <c r="I19" s="48">
        <v>3.49E-2</v>
      </c>
      <c r="J19" s="48">
        <v>2.3166000000000002</v>
      </c>
      <c r="K19" s="71">
        <v>7.0000000000000007E-2</v>
      </c>
    </row>
    <row r="20" spans="2:12" ht="17" thickBot="1" x14ac:dyDescent="0.25">
      <c r="B20" s="87"/>
      <c r="C20" s="68" t="s">
        <v>12</v>
      </c>
      <c r="D20" s="68">
        <f t="shared" ref="D20:D21" si="5">I20*J20</f>
        <v>2.1407700600000004</v>
      </c>
      <c r="E20" s="72">
        <f t="shared" si="0"/>
        <v>7.3281993185676217</v>
      </c>
      <c r="F20" s="68">
        <f t="shared" ref="F20:F21" si="6">I20*K20</f>
        <v>6.4687000000000008E-2</v>
      </c>
      <c r="G20" s="68">
        <v>58.458599999999997</v>
      </c>
      <c r="H20" s="48">
        <v>8.3512299999999993</v>
      </c>
      <c r="I20" s="68">
        <v>0.92410000000000003</v>
      </c>
      <c r="J20" s="68">
        <v>2.3166000000000002</v>
      </c>
      <c r="K20" s="88">
        <v>7.0000000000000007E-2</v>
      </c>
    </row>
    <row r="21" spans="2:12" ht="18" thickBot="1" x14ac:dyDescent="0.25">
      <c r="B21" s="73" t="s">
        <v>27</v>
      </c>
      <c r="C21" s="74" t="s">
        <v>8</v>
      </c>
      <c r="D21" s="74">
        <f t="shared" si="5"/>
        <v>0.41559804000000006</v>
      </c>
      <c r="E21" s="75">
        <f t="shared" si="0"/>
        <v>1.4226587574407872</v>
      </c>
      <c r="F21" s="74">
        <f t="shared" si="6"/>
        <v>1.2558000000000001E-2</v>
      </c>
      <c r="G21" s="74">
        <v>58.458599999999997</v>
      </c>
      <c r="H21" s="48">
        <v>8.3512299999999993</v>
      </c>
      <c r="I21" s="74">
        <v>0.1794</v>
      </c>
      <c r="J21" s="74">
        <v>2.3166000000000002</v>
      </c>
      <c r="K21" s="76">
        <v>7.0000000000000007E-2</v>
      </c>
    </row>
    <row r="22" spans="2:12" x14ac:dyDescent="0.2">
      <c r="B22" s="122" t="s">
        <v>28</v>
      </c>
      <c r="C22" t="s">
        <v>10</v>
      </c>
      <c r="D22">
        <v>0.43999500000000002</v>
      </c>
      <c r="E22" s="33">
        <f t="shared" si="0"/>
        <v>1.5061734650629226</v>
      </c>
      <c r="F22">
        <v>7.8331999999999999E-2</v>
      </c>
      <c r="G22" s="4">
        <v>17.810700000000001</v>
      </c>
      <c r="H22">
        <v>4.02874</v>
      </c>
      <c r="L22" t="s">
        <v>48</v>
      </c>
    </row>
    <row r="23" spans="2:12" ht="17" thickBot="1" x14ac:dyDescent="0.25">
      <c r="B23" s="122"/>
      <c r="C23" t="s">
        <v>11</v>
      </c>
      <c r="D23">
        <v>1.1331500000000001</v>
      </c>
      <c r="E23" s="33">
        <f t="shared" si="0"/>
        <v>3.8789542197889766</v>
      </c>
      <c r="F23">
        <v>0.112195</v>
      </c>
      <c r="G23" s="4">
        <v>17.810700000000001</v>
      </c>
      <c r="H23">
        <v>4.02874</v>
      </c>
    </row>
    <row r="24" spans="2:12" ht="17" thickBot="1" x14ac:dyDescent="0.25">
      <c r="B24" s="81" t="s">
        <v>29</v>
      </c>
      <c r="C24" s="58" t="s">
        <v>8</v>
      </c>
      <c r="D24" s="58">
        <f>I24*J24</f>
        <v>0.38584674400000002</v>
      </c>
      <c r="E24" s="82">
        <f t="shared" si="0"/>
        <v>1.3208152987959554</v>
      </c>
      <c r="F24" s="58">
        <f>I24*K24</f>
        <v>2.8167167999999999E-2</v>
      </c>
      <c r="G24" s="58">
        <v>11.266400000000001</v>
      </c>
      <c r="H24" s="58">
        <v>2.2532800000000002</v>
      </c>
      <c r="I24" s="58">
        <v>6.9199999999999998E-2</v>
      </c>
      <c r="J24" s="82">
        <v>5.5758200000000002</v>
      </c>
      <c r="K24" s="83">
        <v>0.40704000000000001</v>
      </c>
    </row>
    <row r="25" spans="2:12" ht="17" thickBot="1" x14ac:dyDescent="0.25">
      <c r="B25" s="42"/>
      <c r="C25" s="43" t="s">
        <v>7</v>
      </c>
      <c r="D25" s="43">
        <f t="shared" ref="D25:D27" si="7">I25*J25</f>
        <v>2.9496087800000002</v>
      </c>
      <c r="E25" s="44">
        <f t="shared" si="0"/>
        <v>10.096984003801451</v>
      </c>
      <c r="F25" s="43">
        <f t="shared" ref="F25:F27" si="8">I25*K25</f>
        <v>0.21532416000000001</v>
      </c>
      <c r="G25" s="43">
        <v>11.266400000000001</v>
      </c>
      <c r="H25" s="58">
        <v>2.2532800000000002</v>
      </c>
      <c r="I25" s="43">
        <v>0.52900000000000003</v>
      </c>
      <c r="J25" s="44">
        <v>5.5758200000000002</v>
      </c>
      <c r="K25" s="45">
        <v>0.40704000000000001</v>
      </c>
    </row>
    <row r="26" spans="2:12" ht="17" thickBot="1" x14ac:dyDescent="0.25">
      <c r="B26" s="42"/>
      <c r="C26" s="43" t="s">
        <v>14</v>
      </c>
      <c r="D26" s="43">
        <f t="shared" si="7"/>
        <v>2.0630534000000002E-2</v>
      </c>
      <c r="E26" s="44">
        <f t="shared" si="0"/>
        <v>7.0621627247760624E-2</v>
      </c>
      <c r="F26" s="43">
        <f t="shared" si="8"/>
        <v>1.5060480000000001E-3</v>
      </c>
      <c r="G26" s="43">
        <v>11.266400000000001</v>
      </c>
      <c r="H26" s="58">
        <v>2.2532800000000002</v>
      </c>
      <c r="I26" s="43">
        <v>3.7000000000000002E-3</v>
      </c>
      <c r="J26" s="44">
        <v>5.5758200000000002</v>
      </c>
      <c r="K26" s="45">
        <v>0.40704000000000001</v>
      </c>
    </row>
    <row r="27" spans="2:12" ht="17" thickBot="1" x14ac:dyDescent="0.25">
      <c r="B27" s="84" t="s">
        <v>30</v>
      </c>
      <c r="C27" s="15" t="s">
        <v>6</v>
      </c>
      <c r="D27" s="15">
        <f t="shared" si="7"/>
        <v>1.6727459999999999E-3</v>
      </c>
      <c r="E27" s="36">
        <f t="shared" si="0"/>
        <v>5.7260778849535631E-3</v>
      </c>
      <c r="F27" s="15">
        <f t="shared" si="8"/>
        <v>1.2211199999999999E-4</v>
      </c>
      <c r="G27" s="15">
        <v>11.266400000000001</v>
      </c>
      <c r="H27" s="58">
        <v>2.2532800000000002</v>
      </c>
      <c r="I27" s="15">
        <v>2.9999999999999997E-4</v>
      </c>
      <c r="J27" s="36">
        <v>5.5758200000000002</v>
      </c>
      <c r="K27" s="16">
        <v>0.40704000000000001</v>
      </c>
    </row>
    <row r="28" spans="2:12" ht="35" thickBot="1" x14ac:dyDescent="0.25">
      <c r="B28" s="77" t="s">
        <v>31</v>
      </c>
      <c r="C28" s="78" t="s">
        <v>13</v>
      </c>
      <c r="D28" s="78">
        <v>0.80409799999999998</v>
      </c>
      <c r="E28" s="79">
        <f>D28*D31</f>
        <v>2.7525564402099247</v>
      </c>
      <c r="F28" s="78">
        <v>0.103809</v>
      </c>
      <c r="G28" s="80">
        <v>1.25024</v>
      </c>
      <c r="H28" s="58"/>
      <c r="L28" t="s">
        <v>48</v>
      </c>
    </row>
    <row r="30" spans="2:12" x14ac:dyDescent="0.2">
      <c r="B30" t="s">
        <v>45</v>
      </c>
      <c r="D30" t="s">
        <v>61</v>
      </c>
    </row>
    <row r="31" spans="2:12" x14ac:dyDescent="0.2">
      <c r="B31">
        <v>3.6014013985414599</v>
      </c>
      <c r="D31">
        <v>3.4231604110567675</v>
      </c>
    </row>
    <row r="32" spans="2:12" x14ac:dyDescent="0.2">
      <c r="B32" t="s">
        <v>62</v>
      </c>
      <c r="D32" t="s">
        <v>63</v>
      </c>
    </row>
    <row r="34" spans="2:2" x14ac:dyDescent="0.2">
      <c r="B34" t="s">
        <v>99</v>
      </c>
    </row>
  </sheetData>
  <mergeCells count="4">
    <mergeCell ref="B4:B6"/>
    <mergeCell ref="B9:B10"/>
    <mergeCell ref="B16:B17"/>
    <mergeCell ref="B22:B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4BEC-FF13-A745-8162-474477D90294}">
  <dimension ref="B2:M70"/>
  <sheetViews>
    <sheetView topLeftCell="A19" zoomScaleNormal="100" workbookViewId="0">
      <selection activeCell="C70" sqref="C70:M70"/>
    </sheetView>
  </sheetViews>
  <sheetFormatPr baseColWidth="10" defaultRowHeight="16" x14ac:dyDescent="0.2"/>
  <sheetData>
    <row r="2" spans="2:13" x14ac:dyDescent="0.2">
      <c r="B2" t="s">
        <v>87</v>
      </c>
      <c r="C2">
        <v>6.1494999999999997</v>
      </c>
      <c r="D2">
        <v>5.8994999999999997</v>
      </c>
      <c r="E2">
        <v>5.6494999999999997</v>
      </c>
      <c r="F2" s="33">
        <v>5.3994999999999997</v>
      </c>
      <c r="G2">
        <v>5.1494999999999997</v>
      </c>
      <c r="H2">
        <v>4.8994999999999997</v>
      </c>
      <c r="I2">
        <v>4.6494999999999997</v>
      </c>
      <c r="J2">
        <v>4.3994999999999997</v>
      </c>
      <c r="K2">
        <v>4.1494999999999997</v>
      </c>
      <c r="L2">
        <v>3.8995000000000002</v>
      </c>
      <c r="M2">
        <v>3.6495000000000002</v>
      </c>
    </row>
    <row r="3" spans="2:13" x14ac:dyDescent="0.2">
      <c r="B3" t="s">
        <v>8</v>
      </c>
      <c r="C3">
        <v>0</v>
      </c>
      <c r="D3">
        <v>0</v>
      </c>
      <c r="E3">
        <v>0</v>
      </c>
      <c r="F3" s="33">
        <v>0.48862899999999998</v>
      </c>
      <c r="G3">
        <v>0.66227899999999995</v>
      </c>
      <c r="H3">
        <v>0.62294300000000002</v>
      </c>
      <c r="I3">
        <v>3.2599999999999999E-3</v>
      </c>
      <c r="J3">
        <v>0</v>
      </c>
      <c r="K3">
        <v>0</v>
      </c>
      <c r="L3">
        <v>0</v>
      </c>
      <c r="M3">
        <v>0</v>
      </c>
    </row>
    <row r="4" spans="2:13" x14ac:dyDescent="0.2">
      <c r="B4" t="s">
        <v>7</v>
      </c>
      <c r="C4">
        <v>2.3650600000000002</v>
      </c>
      <c r="D4">
        <v>2.3795500000000001</v>
      </c>
      <c r="E4">
        <v>2.3946399999999999</v>
      </c>
      <c r="F4" s="33">
        <v>1.2217899999999999</v>
      </c>
      <c r="G4">
        <v>1.16235</v>
      </c>
      <c r="H4">
        <v>1.10592</v>
      </c>
      <c r="I4">
        <v>1.05311</v>
      </c>
      <c r="J4">
        <v>1.00722</v>
      </c>
      <c r="K4">
        <v>0.96824699999999997</v>
      </c>
      <c r="L4">
        <v>0.93530800000000003</v>
      </c>
      <c r="M4">
        <v>0.93530800000000003</v>
      </c>
    </row>
    <row r="5" spans="2:13" x14ac:dyDescent="0.2">
      <c r="B5" t="s">
        <v>82</v>
      </c>
      <c r="C5">
        <v>0.27305800000000002</v>
      </c>
      <c r="D5">
        <v>0.27387499999999998</v>
      </c>
      <c r="E5">
        <v>0.27462799999999998</v>
      </c>
      <c r="F5" s="33">
        <v>0</v>
      </c>
      <c r="G5">
        <v>0</v>
      </c>
      <c r="H5">
        <v>1.48281E-2</v>
      </c>
      <c r="I5">
        <v>6.7396800000000007E-2</v>
      </c>
      <c r="J5">
        <v>7.57607E-2</v>
      </c>
      <c r="K5">
        <v>8.3863800000000002E-2</v>
      </c>
      <c r="L5">
        <v>9.1579400000000005E-2</v>
      </c>
      <c r="M5">
        <v>9.1579400000000005E-2</v>
      </c>
    </row>
    <row r="6" spans="2:13" x14ac:dyDescent="0.2">
      <c r="B6" t="s">
        <v>90</v>
      </c>
      <c r="F6" s="33">
        <v>0.16</v>
      </c>
    </row>
    <row r="51" spans="2:13" x14ac:dyDescent="0.2">
      <c r="B51" t="s">
        <v>87</v>
      </c>
      <c r="C51">
        <v>6.1494999999999997</v>
      </c>
      <c r="D51">
        <v>5.8994999999999997</v>
      </c>
      <c r="E51">
        <v>5.6494999999999997</v>
      </c>
      <c r="F51" s="33">
        <v>5.3994999999999997</v>
      </c>
      <c r="G51">
        <v>5.1494999999999997</v>
      </c>
      <c r="H51">
        <v>4.8994999999999997</v>
      </c>
      <c r="I51">
        <v>4.6494999999999997</v>
      </c>
      <c r="J51">
        <v>4.3994999999999997</v>
      </c>
      <c r="K51">
        <v>4.1494999999999997</v>
      </c>
      <c r="L51">
        <v>3.8995000000000002</v>
      </c>
      <c r="M51">
        <v>3.6495000000000002</v>
      </c>
    </row>
    <row r="52" spans="2:13" x14ac:dyDescent="0.2">
      <c r="B52" t="s">
        <v>8</v>
      </c>
      <c r="C52">
        <v>1.0426500000000001</v>
      </c>
      <c r="D52">
        <v>1.0470600000000001</v>
      </c>
      <c r="E52">
        <v>1.05064</v>
      </c>
      <c r="F52" s="33">
        <v>0.49790699999999999</v>
      </c>
      <c r="G52">
        <v>0.66287600000000002</v>
      </c>
      <c r="H52">
        <v>0.83402299999999996</v>
      </c>
      <c r="I52">
        <v>1.0051600000000001</v>
      </c>
      <c r="J52">
        <v>1.1682900000000001</v>
      </c>
      <c r="K52">
        <v>1.33883</v>
      </c>
      <c r="L52">
        <v>1.5131300000000001</v>
      </c>
      <c r="M52">
        <v>1.6860299999999999</v>
      </c>
    </row>
    <row r="53" spans="2:13" x14ac:dyDescent="0.2">
      <c r="B53" t="s">
        <v>7</v>
      </c>
      <c r="C53">
        <v>2.5594700000000001</v>
      </c>
      <c r="D53">
        <v>2.57497</v>
      </c>
      <c r="E53">
        <v>2.5909900000000001</v>
      </c>
      <c r="F53" s="33">
        <v>1.22211</v>
      </c>
      <c r="G53">
        <v>1.16221</v>
      </c>
      <c r="H53">
        <v>1.1067199999999999</v>
      </c>
      <c r="I53">
        <v>1.0541400000000001</v>
      </c>
      <c r="J53">
        <v>1.0069999999999999</v>
      </c>
      <c r="K53">
        <v>0.96</v>
      </c>
      <c r="L53">
        <v>0.93427000000000004</v>
      </c>
      <c r="M53">
        <v>0.89916200000000002</v>
      </c>
    </row>
    <row r="54" spans="2:13" x14ac:dyDescent="0.2">
      <c r="B54" t="s">
        <v>88</v>
      </c>
      <c r="C54">
        <v>0.27</v>
      </c>
      <c r="D54">
        <v>0.27</v>
      </c>
      <c r="E54">
        <v>0.27</v>
      </c>
      <c r="F54" s="33">
        <v>0.53800000000000003</v>
      </c>
      <c r="G54">
        <v>0.54</v>
      </c>
      <c r="H54">
        <v>0.55789</v>
      </c>
      <c r="I54">
        <v>0.56000000000000005</v>
      </c>
      <c r="J54">
        <v>0.57999999999999996</v>
      </c>
      <c r="K54">
        <v>0.59</v>
      </c>
      <c r="L54">
        <v>0.61</v>
      </c>
      <c r="M54">
        <v>0.62983999999999996</v>
      </c>
    </row>
    <row r="55" spans="2:13" x14ac:dyDescent="0.2">
      <c r="B55" t="s">
        <v>90</v>
      </c>
      <c r="C55">
        <v>0.35</v>
      </c>
      <c r="D55">
        <v>0.36</v>
      </c>
      <c r="E55">
        <v>0.36</v>
      </c>
      <c r="F55" s="33">
        <v>0.16575200000000001</v>
      </c>
      <c r="G55">
        <v>0.158</v>
      </c>
      <c r="H55">
        <v>0.15</v>
      </c>
      <c r="I55">
        <v>0.14480000000000001</v>
      </c>
      <c r="J55">
        <v>0.1386</v>
      </c>
      <c r="K55">
        <v>0.13300000000000001</v>
      </c>
      <c r="L55">
        <v>0.129</v>
      </c>
      <c r="M55">
        <v>0.12610299999999999</v>
      </c>
    </row>
    <row r="65" spans="2:13" x14ac:dyDescent="0.2">
      <c r="F65">
        <f>F69/F67</f>
        <v>0.13101330603889458</v>
      </c>
      <c r="G65">
        <f t="shared" ref="G65:M65" si="0">G69/G67</f>
        <v>0.13793103448275865</v>
      </c>
      <c r="H65">
        <f t="shared" si="0"/>
        <v>0.13756527562832035</v>
      </c>
      <c r="I65">
        <f t="shared" si="0"/>
        <v>0.13674304652112396</v>
      </c>
      <c r="J65">
        <f t="shared" si="0"/>
        <v>0.13234972894616653</v>
      </c>
      <c r="K65">
        <f t="shared" si="0"/>
        <v>0.13402061855670103</v>
      </c>
      <c r="L65">
        <f t="shared" si="0"/>
        <v>0.13653460836913314</v>
      </c>
      <c r="M65">
        <f t="shared" si="0"/>
        <v>0.1324503311258278</v>
      </c>
    </row>
    <row r="66" spans="2:13" x14ac:dyDescent="0.2">
      <c r="B66" t="s">
        <v>87</v>
      </c>
      <c r="C66">
        <v>6.1494999999999997</v>
      </c>
      <c r="D66">
        <v>5.8994999999999997</v>
      </c>
      <c r="E66">
        <v>5.6494999999999997</v>
      </c>
      <c r="F66" s="33">
        <v>5.3994999999999997</v>
      </c>
      <c r="G66">
        <v>5.1494999999999997</v>
      </c>
      <c r="H66">
        <v>4.8994999999999997</v>
      </c>
      <c r="I66">
        <v>4.6494999999999997</v>
      </c>
      <c r="J66">
        <v>4.3994999999999997</v>
      </c>
      <c r="K66">
        <v>4.1494999999999997</v>
      </c>
      <c r="L66">
        <v>3.8995000000000002</v>
      </c>
      <c r="M66">
        <v>3.6495000000000002</v>
      </c>
    </row>
    <row r="67" spans="2:13" x14ac:dyDescent="0.2">
      <c r="B67" t="s">
        <v>7</v>
      </c>
      <c r="C67">
        <v>2.3648799999999999</v>
      </c>
      <c r="D67">
        <v>2.379</v>
      </c>
      <c r="E67">
        <v>2.3949600000000002</v>
      </c>
      <c r="F67" s="33">
        <v>1.2212499999999999</v>
      </c>
      <c r="G67">
        <v>1.1599999999999999</v>
      </c>
      <c r="H67">
        <v>1.10493</v>
      </c>
      <c r="I67">
        <v>1.05307</v>
      </c>
      <c r="J67">
        <v>1.00718</v>
      </c>
      <c r="K67">
        <v>0.97</v>
      </c>
      <c r="L67">
        <v>0.93529399999999996</v>
      </c>
      <c r="M67">
        <v>0.90600000000000003</v>
      </c>
    </row>
    <row r="68" spans="2:13" x14ac:dyDescent="0.2">
      <c r="B68" t="s">
        <v>82</v>
      </c>
      <c r="C68">
        <v>0.27</v>
      </c>
      <c r="D68">
        <v>0.27</v>
      </c>
      <c r="E68">
        <v>0.27</v>
      </c>
      <c r="F68" s="33">
        <v>3.7118199999999997E-2</v>
      </c>
      <c r="G68">
        <v>4.7E-2</v>
      </c>
      <c r="H68">
        <v>5.8000000000000003E-2</v>
      </c>
      <c r="I68">
        <v>6.7599999999999993E-2</v>
      </c>
      <c r="J68">
        <v>7.5800000000000006E-2</v>
      </c>
      <c r="K68">
        <v>8.3799999999999999E-2</v>
      </c>
      <c r="L68">
        <v>9.1538900000000006E-2</v>
      </c>
      <c r="M68">
        <v>9.8000000000000004E-2</v>
      </c>
    </row>
    <row r="69" spans="2:13" x14ac:dyDescent="0.2">
      <c r="B69" t="s">
        <v>90</v>
      </c>
      <c r="C69">
        <v>0.38</v>
      </c>
      <c r="D69">
        <v>0.38</v>
      </c>
      <c r="E69">
        <v>0.38479999999999998</v>
      </c>
      <c r="F69" s="33">
        <v>0.16</v>
      </c>
      <c r="G69">
        <v>0.16</v>
      </c>
      <c r="H69">
        <v>0.152</v>
      </c>
      <c r="I69">
        <v>0.14399999999999999</v>
      </c>
      <c r="J69">
        <v>0.1333</v>
      </c>
      <c r="K69">
        <v>0.13</v>
      </c>
      <c r="L69">
        <v>0.12770000000000001</v>
      </c>
      <c r="M69">
        <v>0.12</v>
      </c>
    </row>
    <row r="70" spans="2:13" x14ac:dyDescent="0.2">
      <c r="B70" t="s">
        <v>89</v>
      </c>
      <c r="C70">
        <v>6.9000000000000006E-2</v>
      </c>
      <c r="D70">
        <v>6.9000000000000006E-2</v>
      </c>
      <c r="E70">
        <v>6.7000000000000004E-2</v>
      </c>
      <c r="F70" s="33">
        <v>0.04</v>
      </c>
      <c r="G70">
        <v>0.04</v>
      </c>
      <c r="H70">
        <v>3.9E-2</v>
      </c>
      <c r="I70">
        <v>3.7999999999999999E-2</v>
      </c>
      <c r="J70">
        <v>3.6999999999999998E-2</v>
      </c>
      <c r="K70">
        <v>3.5999999999999997E-2</v>
      </c>
      <c r="L70">
        <v>3.5999999999999997E-2</v>
      </c>
      <c r="M70">
        <v>3.5999999999999997E-2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18O Option 1</vt:lpstr>
      <vt:lpstr>18O Option 2 lit</vt:lpstr>
      <vt:lpstr>18O Option 2 SM</vt:lpstr>
      <vt:lpstr>18F norm Option 1</vt:lpstr>
      <vt:lpstr>18F norm Option 2 lit</vt:lpstr>
      <vt:lpstr>18O &amp; 18F</vt:lpstr>
      <vt:lpstr>18F norm Option 2 SM</vt:lpstr>
      <vt:lpstr>6.136 MeV in 18F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Kawecka</dc:creator>
  <cp:lastModifiedBy>Anna Kawecka</cp:lastModifiedBy>
  <dcterms:created xsi:type="dcterms:W3CDTF">2025-12-09T08:40:32Z</dcterms:created>
  <dcterms:modified xsi:type="dcterms:W3CDTF">2026-04-17T07:53:33Z</dcterms:modified>
</cp:coreProperties>
</file>