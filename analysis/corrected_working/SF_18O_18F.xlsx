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wecka/digios/analysis/corrected_working/"/>
    </mc:Choice>
  </mc:AlternateContent>
  <xr:revisionPtr revIDLastSave="0" documentId="13_ncr:1_{3E65D4D1-3ADD-3D47-A075-F2B2DF7B72EC}" xr6:coauthVersionLast="47" xr6:coauthVersionMax="47" xr10:uidLastSave="{00000000-0000-0000-0000-000000000000}"/>
  <bookViews>
    <workbookView xWindow="0" yWindow="740" windowWidth="29400" windowHeight="17220" xr2:uid="{3ABE6ABB-8332-1E45-BF21-9E3D8711C9F0}"/>
  </bookViews>
  <sheets>
    <sheet name="18O" sheetId="1" r:id="rId1"/>
    <sheet name="18F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F3" i="1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6" i="2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7" i="1"/>
  <c r="F30" i="1"/>
  <c r="F31" i="1"/>
  <c r="F32" i="1"/>
  <c r="F33" i="1"/>
  <c r="F34" i="1"/>
  <c r="F35" i="1"/>
  <c r="F36" i="1"/>
  <c r="F37" i="1"/>
  <c r="F38" i="1"/>
  <c r="F39" i="1"/>
  <c r="F5" i="1"/>
</calcChain>
</file>

<file path=xl/sharedStrings.xml><?xml version="1.0" encoding="utf-8"?>
<sst xmlns="http://schemas.openxmlformats.org/spreadsheetml/2006/main" count="159" uniqueCount="22">
  <si>
    <t>1,982 MeV</t>
  </si>
  <si>
    <t>1s1/2</t>
  </si>
  <si>
    <t>0d5/2</t>
  </si>
  <si>
    <t>H</t>
  </si>
  <si>
    <t>A</t>
  </si>
  <si>
    <t>K</t>
  </si>
  <si>
    <t>V</t>
  </si>
  <si>
    <t>M</t>
  </si>
  <si>
    <t>G</t>
  </si>
  <si>
    <t>P</t>
  </si>
  <si>
    <t>B</t>
  </si>
  <si>
    <t>D</t>
  </si>
  <si>
    <t>L</t>
  </si>
  <si>
    <t>Q</t>
  </si>
  <si>
    <t>Z</t>
  </si>
  <si>
    <t>no half det</t>
  </si>
  <si>
    <t>4963,6 keV</t>
  </si>
  <si>
    <t>3061,84 keV</t>
  </si>
  <si>
    <t>half det</t>
  </si>
  <si>
    <t xml:space="preserve"> 0d5/2//1s1/2</t>
  </si>
  <si>
    <t>literature</t>
  </si>
  <si>
    <t>3.920 MeV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</si>
</sst>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0" borderId="1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9792A-629E-104B-BC7C-CEC29C61C0D2}">
  <dimension ref="B1:J39"/>
  <sheetViews>
    <sheetView tabSelected="1" zoomScale="110" zoomScaleNormal="110" workbookViewId="0">
      <selection activeCell="H5" sqref="H5"/>
    </sheetView>
  </sheetViews>
  <sheetFormatPr baseColWidth="10" defaultRowHeight="16" x14ac:dyDescent="0.2"/>
  <cols>
    <col min="2" max="2" width="4.1640625" customWidth="1"/>
    <col min="3" max="3" width="3.33203125" customWidth="1"/>
    <col min="6" max="6" width="11.6640625" customWidth="1"/>
    <col min="10" max="10" width="11.6640625" customWidth="1"/>
  </cols>
  <sheetData>
    <row r="1" spans="2:10" ht="17" thickBot="1" x14ac:dyDescent="0.25"/>
    <row r="2" spans="2:10" ht="17" thickBot="1" x14ac:dyDescent="0.25">
      <c r="D2" s="5" t="s">
        <v>0</v>
      </c>
      <c r="E2" t="s">
        <v>20</v>
      </c>
      <c r="F2" s="2" t="s">
        <v>19</v>
      </c>
      <c r="H2" s="5" t="s">
        <v>21</v>
      </c>
      <c r="I2" t="s">
        <v>20</v>
      </c>
      <c r="J2" s="2" t="s">
        <v>19</v>
      </c>
    </row>
    <row r="3" spans="2:10" x14ac:dyDescent="0.2">
      <c r="D3" t="s">
        <v>18</v>
      </c>
      <c r="F3" s="3">
        <f>0.83/0.21</f>
        <v>3.9523809523809526</v>
      </c>
      <c r="J3" s="3">
        <f>0.66/0.35</f>
        <v>1.8857142857142859</v>
      </c>
    </row>
    <row r="4" spans="2:10" x14ac:dyDescent="0.2">
      <c r="D4" s="4" t="s">
        <v>1</v>
      </c>
      <c r="E4" s="4" t="s">
        <v>2</v>
      </c>
      <c r="F4" s="4" t="s">
        <v>19</v>
      </c>
      <c r="H4" s="4" t="s">
        <v>1</v>
      </c>
      <c r="I4" s="4" t="s">
        <v>2</v>
      </c>
      <c r="J4" s="4" t="s">
        <v>19</v>
      </c>
    </row>
    <row r="5" spans="2:10" x14ac:dyDescent="0.2">
      <c r="B5" t="s">
        <v>4</v>
      </c>
      <c r="C5" t="s">
        <v>5</v>
      </c>
      <c r="D5">
        <v>0.50975400000000004</v>
      </c>
      <c r="E5">
        <v>3.0304000000000002</v>
      </c>
      <c r="F5">
        <f>E5/D5</f>
        <v>5.9448282897240627</v>
      </c>
    </row>
    <row r="6" spans="2:10" x14ac:dyDescent="0.2">
      <c r="B6" t="s">
        <v>4</v>
      </c>
      <c r="C6" t="s">
        <v>6</v>
      </c>
      <c r="D6">
        <v>0.52033099999999999</v>
      </c>
      <c r="E6">
        <v>3.1882600000000001</v>
      </c>
      <c r="F6">
        <f t="shared" ref="F6:F39" si="0">E6/D6</f>
        <v>6.1273689247805727</v>
      </c>
    </row>
    <row r="7" spans="2:10" x14ac:dyDescent="0.2">
      <c r="B7" t="s">
        <v>4</v>
      </c>
      <c r="C7" t="s">
        <v>7</v>
      </c>
      <c r="D7">
        <v>0.50911099999999998</v>
      </c>
      <c r="E7">
        <v>3.51823</v>
      </c>
      <c r="F7">
        <f t="shared" si="0"/>
        <v>6.9105362091960298</v>
      </c>
    </row>
    <row r="8" spans="2:10" x14ac:dyDescent="0.2">
      <c r="B8" t="s">
        <v>4</v>
      </c>
      <c r="C8" t="s">
        <v>8</v>
      </c>
      <c r="D8">
        <v>0.52423900000000001</v>
      </c>
      <c r="E8">
        <v>3.3570099999999998</v>
      </c>
      <c r="F8">
        <f t="shared" si="0"/>
        <v>6.4035869136023829</v>
      </c>
    </row>
    <row r="9" spans="2:10" x14ac:dyDescent="0.2">
      <c r="B9" t="s">
        <v>4</v>
      </c>
      <c r="C9" t="s">
        <v>9</v>
      </c>
      <c r="D9">
        <v>0.56957899999999995</v>
      </c>
      <c r="E9">
        <v>3.03403</v>
      </c>
      <c r="F9">
        <f t="shared" si="0"/>
        <v>5.3267940004810574</v>
      </c>
    </row>
    <row r="10" spans="2:10" x14ac:dyDescent="0.2">
      <c r="B10" t="s">
        <v>3</v>
      </c>
      <c r="C10" t="s">
        <v>5</v>
      </c>
      <c r="D10">
        <v>0.41789599999999999</v>
      </c>
      <c r="E10">
        <v>2.87385</v>
      </c>
      <c r="F10">
        <f t="shared" si="0"/>
        <v>6.8769502459942187</v>
      </c>
    </row>
    <row r="11" spans="2:10" x14ac:dyDescent="0.2">
      <c r="B11" t="s">
        <v>3</v>
      </c>
      <c r="C11" t="s">
        <v>6</v>
      </c>
      <c r="D11">
        <v>0.42325499999999999</v>
      </c>
      <c r="E11">
        <v>3.0214699999999999</v>
      </c>
      <c r="F11">
        <f t="shared" si="0"/>
        <v>7.1386516402641433</v>
      </c>
    </row>
    <row r="12" spans="2:10" x14ac:dyDescent="0.2">
      <c r="B12" t="s">
        <v>3</v>
      </c>
      <c r="C12" t="s">
        <v>7</v>
      </c>
      <c r="D12">
        <v>0.41116799999999998</v>
      </c>
      <c r="E12">
        <v>3.28796</v>
      </c>
      <c r="F12">
        <f t="shared" si="0"/>
        <v>7.9966339792980001</v>
      </c>
    </row>
    <row r="13" spans="2:10" x14ac:dyDescent="0.2">
      <c r="B13" t="s">
        <v>3</v>
      </c>
      <c r="C13" t="s">
        <v>8</v>
      </c>
      <c r="D13">
        <v>0.43305900000000003</v>
      </c>
      <c r="E13">
        <v>3.15388</v>
      </c>
      <c r="F13">
        <f t="shared" si="0"/>
        <v>7.2827951849517039</v>
      </c>
    </row>
    <row r="14" spans="2:10" x14ac:dyDescent="0.2">
      <c r="B14" t="s">
        <v>3</v>
      </c>
      <c r="C14" t="s">
        <v>9</v>
      </c>
      <c r="D14">
        <v>0.47031000000000001</v>
      </c>
      <c r="E14">
        <v>2.8599800000000002</v>
      </c>
      <c r="F14">
        <f t="shared" si="0"/>
        <v>6.0810529225404526</v>
      </c>
    </row>
    <row r="15" spans="2:10" x14ac:dyDescent="0.2">
      <c r="B15" t="s">
        <v>10</v>
      </c>
      <c r="C15" t="s">
        <v>5</v>
      </c>
      <c r="D15">
        <v>0.42122100000000001</v>
      </c>
      <c r="E15">
        <v>3.10778</v>
      </c>
      <c r="F15">
        <f t="shared" si="0"/>
        <v>7.3780272113688534</v>
      </c>
    </row>
    <row r="16" spans="2:10" x14ac:dyDescent="0.2">
      <c r="B16" t="s">
        <v>10</v>
      </c>
      <c r="C16" t="s">
        <v>6</v>
      </c>
      <c r="D16">
        <v>0.43271399999999999</v>
      </c>
      <c r="E16">
        <v>3.27474</v>
      </c>
      <c r="F16">
        <f t="shared" si="0"/>
        <v>7.5679085955157452</v>
      </c>
    </row>
    <row r="17" spans="2:6" x14ac:dyDescent="0.2">
      <c r="B17" t="s">
        <v>10</v>
      </c>
      <c r="C17" t="s">
        <v>7</v>
      </c>
      <c r="D17">
        <v>0.41596699999999998</v>
      </c>
      <c r="E17">
        <v>3.5846399999999998</v>
      </c>
      <c r="F17">
        <f t="shared" si="0"/>
        <v>8.6176066851456969</v>
      </c>
    </row>
    <row r="18" spans="2:6" x14ac:dyDescent="0.2">
      <c r="B18" t="s">
        <v>10</v>
      </c>
      <c r="C18" t="s">
        <v>8</v>
      </c>
      <c r="D18">
        <v>0.43458599999999997</v>
      </c>
      <c r="E18">
        <v>3.4355000000000002</v>
      </c>
      <c r="F18">
        <f t="shared" si="0"/>
        <v>7.9052247426286177</v>
      </c>
    </row>
    <row r="19" spans="2:6" x14ac:dyDescent="0.2">
      <c r="B19" t="s">
        <v>10</v>
      </c>
      <c r="C19" t="s">
        <v>9</v>
      </c>
      <c r="D19">
        <v>0.47330699999999998</v>
      </c>
      <c r="E19">
        <v>3.13368</v>
      </c>
      <c r="F19">
        <f t="shared" si="0"/>
        <v>6.6208190455666198</v>
      </c>
    </row>
    <row r="20" spans="2:6" x14ac:dyDescent="0.2">
      <c r="B20" t="s">
        <v>11</v>
      </c>
      <c r="C20" t="s">
        <v>5</v>
      </c>
      <c r="D20">
        <v>0.41753699999999999</v>
      </c>
      <c r="E20">
        <v>2.9118900000000001</v>
      </c>
      <c r="F20">
        <f t="shared" si="0"/>
        <v>6.9739687740248177</v>
      </c>
    </row>
    <row r="21" spans="2:6" x14ac:dyDescent="0.2">
      <c r="B21" t="s">
        <v>11</v>
      </c>
      <c r="C21" t="s">
        <v>6</v>
      </c>
      <c r="D21">
        <v>0.42297600000000002</v>
      </c>
      <c r="E21">
        <v>3.06453</v>
      </c>
      <c r="F21">
        <f t="shared" si="0"/>
        <v>7.2451628461189284</v>
      </c>
    </row>
    <row r="22" spans="2:6" x14ac:dyDescent="0.2">
      <c r="B22" t="s">
        <v>11</v>
      </c>
      <c r="C22" t="s">
        <v>7</v>
      </c>
      <c r="D22">
        <v>0.41909999999999997</v>
      </c>
      <c r="E22">
        <v>3.3502000000000001</v>
      </c>
      <c r="F22">
        <f t="shared" si="0"/>
        <v>7.9937962300167031</v>
      </c>
    </row>
    <row r="23" spans="2:6" x14ac:dyDescent="0.2">
      <c r="B23" t="s">
        <v>11</v>
      </c>
      <c r="C23" t="s">
        <v>8</v>
      </c>
      <c r="D23">
        <v>0.43003200000000003</v>
      </c>
      <c r="E23">
        <v>3.2103999999999999</v>
      </c>
      <c r="F23">
        <f t="shared" si="0"/>
        <v>7.4654909402090999</v>
      </c>
    </row>
    <row r="24" spans="2:6" x14ac:dyDescent="0.2">
      <c r="B24" t="s">
        <v>11</v>
      </c>
      <c r="C24" t="s">
        <v>9</v>
      </c>
    </row>
    <row r="25" spans="2:6" x14ac:dyDescent="0.2">
      <c r="B25" t="s">
        <v>12</v>
      </c>
      <c r="C25" t="s">
        <v>5</v>
      </c>
    </row>
    <row r="26" spans="2:6" x14ac:dyDescent="0.2">
      <c r="B26" t="s">
        <v>12</v>
      </c>
      <c r="C26" t="s">
        <v>6</v>
      </c>
    </row>
    <row r="27" spans="2:6" x14ac:dyDescent="0.2">
      <c r="B27" t="s">
        <v>12</v>
      </c>
      <c r="C27" t="s">
        <v>7</v>
      </c>
      <c r="D27">
        <v>0.79408800000000002</v>
      </c>
      <c r="E27">
        <v>4.9477700000000002</v>
      </c>
      <c r="F27">
        <f t="shared" si="0"/>
        <v>6.2307578001430572</v>
      </c>
    </row>
    <row r="28" spans="2:6" x14ac:dyDescent="0.2">
      <c r="B28" t="s">
        <v>12</v>
      </c>
      <c r="C28" t="s">
        <v>8</v>
      </c>
    </row>
    <row r="29" spans="2:6" x14ac:dyDescent="0.2">
      <c r="B29" t="s">
        <v>12</v>
      </c>
      <c r="C29" t="s">
        <v>9</v>
      </c>
    </row>
    <row r="30" spans="2:6" x14ac:dyDescent="0.2">
      <c r="B30" t="s">
        <v>13</v>
      </c>
      <c r="C30" s="1" t="s">
        <v>5</v>
      </c>
      <c r="D30">
        <v>0.60182400000000003</v>
      </c>
      <c r="E30">
        <v>3.65578</v>
      </c>
      <c r="F30">
        <f t="shared" si="0"/>
        <v>6.07450018610092</v>
      </c>
    </row>
    <row r="31" spans="2:6" x14ac:dyDescent="0.2">
      <c r="B31" t="s">
        <v>13</v>
      </c>
      <c r="C31" s="1" t="s">
        <v>6</v>
      </c>
      <c r="D31">
        <v>0.61294300000000002</v>
      </c>
      <c r="E31">
        <v>3.8193000000000001</v>
      </c>
      <c r="F31">
        <f t="shared" si="0"/>
        <v>6.2310851090558179</v>
      </c>
    </row>
    <row r="32" spans="2:6" x14ac:dyDescent="0.2">
      <c r="B32" t="s">
        <v>13</v>
      </c>
      <c r="C32" s="1" t="s">
        <v>7</v>
      </c>
      <c r="D32">
        <v>0.59227300000000005</v>
      </c>
      <c r="E32">
        <v>4.1832799999999999</v>
      </c>
      <c r="F32">
        <f t="shared" si="0"/>
        <v>7.0630942149988254</v>
      </c>
    </row>
    <row r="33" spans="2:6" x14ac:dyDescent="0.2">
      <c r="B33" t="s">
        <v>13</v>
      </c>
      <c r="C33" s="1" t="s">
        <v>8</v>
      </c>
      <c r="D33">
        <v>0.63284099999999999</v>
      </c>
      <c r="E33">
        <v>3.9975299999999998</v>
      </c>
      <c r="F33">
        <f t="shared" si="0"/>
        <v>6.3167999544909383</v>
      </c>
    </row>
    <row r="34" spans="2:6" x14ac:dyDescent="0.2">
      <c r="B34" t="s">
        <v>13</v>
      </c>
      <c r="C34" s="1" t="s">
        <v>9</v>
      </c>
      <c r="D34">
        <v>0.66546499999999997</v>
      </c>
      <c r="E34">
        <v>3.6390099999999999</v>
      </c>
      <c r="F34">
        <f t="shared" si="0"/>
        <v>5.4683717400614604</v>
      </c>
    </row>
    <row r="35" spans="2:6" x14ac:dyDescent="0.2">
      <c r="B35" t="s">
        <v>14</v>
      </c>
      <c r="C35" s="1" t="s">
        <v>5</v>
      </c>
      <c r="D35">
        <v>0.458177</v>
      </c>
      <c r="E35">
        <v>3.1156899999999998</v>
      </c>
      <c r="F35">
        <f t="shared" si="0"/>
        <v>6.8001885734115852</v>
      </c>
    </row>
    <row r="36" spans="2:6" x14ac:dyDescent="0.2">
      <c r="B36" t="s">
        <v>14</v>
      </c>
      <c r="C36" s="1" t="s">
        <v>6</v>
      </c>
      <c r="D36">
        <v>0.480514</v>
      </c>
      <c r="E36">
        <v>3.28783</v>
      </c>
      <c r="F36">
        <f t="shared" si="0"/>
        <v>6.8423188502312104</v>
      </c>
    </row>
    <row r="37" spans="2:6" x14ac:dyDescent="0.2">
      <c r="B37" t="s">
        <v>14</v>
      </c>
      <c r="C37" s="1" t="s">
        <v>7</v>
      </c>
      <c r="D37">
        <v>0.43973800000000002</v>
      </c>
      <c r="E37">
        <v>3.6107</v>
      </c>
      <c r="F37">
        <f t="shared" si="0"/>
        <v>8.2110256561861839</v>
      </c>
    </row>
    <row r="38" spans="2:6" x14ac:dyDescent="0.2">
      <c r="B38" t="s">
        <v>14</v>
      </c>
      <c r="C38" s="1" t="s">
        <v>8</v>
      </c>
      <c r="D38">
        <v>0.46559200000000001</v>
      </c>
      <c r="E38">
        <v>3.4268700000000001</v>
      </c>
      <c r="F38">
        <f t="shared" si="0"/>
        <v>7.3602424440282483</v>
      </c>
    </row>
    <row r="39" spans="2:6" x14ac:dyDescent="0.2">
      <c r="B39" t="s">
        <v>14</v>
      </c>
      <c r="C39" s="1" t="s">
        <v>9</v>
      </c>
      <c r="D39">
        <v>0.50662700000000005</v>
      </c>
      <c r="E39">
        <v>3.1228099999999999</v>
      </c>
      <c r="F39">
        <f t="shared" si="0"/>
        <v>6.1639233597893508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E2BDE-B4E4-A647-A4B3-5C71D5BC4EFD}">
  <dimension ref="B2:G40"/>
  <sheetViews>
    <sheetView zoomScale="110" zoomScaleNormal="110" workbookViewId="0">
      <selection activeCell="D5" sqref="D5:F5"/>
    </sheetView>
  </sheetViews>
  <sheetFormatPr baseColWidth="10" defaultRowHeight="16" x14ac:dyDescent="0.2"/>
  <cols>
    <col min="2" max="2" width="4.1640625" customWidth="1"/>
    <col min="3" max="3" width="3.33203125" customWidth="1"/>
    <col min="6" max="6" width="11.6640625" customWidth="1"/>
  </cols>
  <sheetData>
    <row r="2" spans="2:7" ht="17" thickBot="1" x14ac:dyDescent="0.25"/>
    <row r="3" spans="2:7" ht="17" thickBot="1" x14ac:dyDescent="0.25">
      <c r="D3" s="5" t="s">
        <v>17</v>
      </c>
      <c r="G3" t="s">
        <v>16</v>
      </c>
    </row>
    <row r="4" spans="2:7" x14ac:dyDescent="0.2">
      <c r="D4" t="s">
        <v>15</v>
      </c>
    </row>
    <row r="5" spans="2:7" x14ac:dyDescent="0.2">
      <c r="D5" s="4" t="s">
        <v>1</v>
      </c>
      <c r="E5" s="4" t="s">
        <v>2</v>
      </c>
      <c r="F5" s="4" t="s">
        <v>19</v>
      </c>
    </row>
    <row r="6" spans="2:7" x14ac:dyDescent="0.2">
      <c r="B6" t="s">
        <v>4</v>
      </c>
      <c r="C6" t="s">
        <v>5</v>
      </c>
      <c r="D6">
        <v>0.17178299999999999</v>
      </c>
      <c r="E6">
        <v>1.4943299999999999</v>
      </c>
      <c r="F6">
        <f>E6/D6</f>
        <v>8.6989399416705968</v>
      </c>
    </row>
    <row r="7" spans="2:7" x14ac:dyDescent="0.2">
      <c r="B7" t="s">
        <v>4</v>
      </c>
      <c r="C7" t="s">
        <v>6</v>
      </c>
      <c r="D7">
        <v>0.16395199999999999</v>
      </c>
      <c r="E7">
        <v>1.55379</v>
      </c>
      <c r="F7">
        <f t="shared" ref="F7:F40" si="0">E7/D7</f>
        <v>9.4771030545525523</v>
      </c>
    </row>
    <row r="8" spans="2:7" x14ac:dyDescent="0.2">
      <c r="B8" t="s">
        <v>4</v>
      </c>
      <c r="C8" t="s">
        <v>7</v>
      </c>
      <c r="D8">
        <v>0.13153599999999999</v>
      </c>
      <c r="E8">
        <v>1.63449</v>
      </c>
      <c r="F8">
        <f t="shared" si="0"/>
        <v>12.426179905121034</v>
      </c>
    </row>
    <row r="9" spans="2:7" x14ac:dyDescent="0.2">
      <c r="B9" t="s">
        <v>4</v>
      </c>
      <c r="C9" t="s">
        <v>8</v>
      </c>
      <c r="D9">
        <v>0.15550900000000001</v>
      </c>
      <c r="E9">
        <v>1.5852200000000001</v>
      </c>
      <c r="F9">
        <f t="shared" si="0"/>
        <v>10.193750844002597</v>
      </c>
    </row>
    <row r="10" spans="2:7" x14ac:dyDescent="0.2">
      <c r="B10" t="s">
        <v>4</v>
      </c>
      <c r="C10" t="s">
        <v>9</v>
      </c>
      <c r="D10">
        <v>0.20563400000000001</v>
      </c>
      <c r="E10">
        <v>1.54017</v>
      </c>
      <c r="F10">
        <f t="shared" si="0"/>
        <v>7.4898606261610432</v>
      </c>
    </row>
    <row r="11" spans="2:7" x14ac:dyDescent="0.2">
      <c r="B11" t="s">
        <v>3</v>
      </c>
      <c r="C11" t="s">
        <v>5</v>
      </c>
      <c r="D11">
        <v>0.16811699999999999</v>
      </c>
      <c r="E11">
        <v>1.58849</v>
      </c>
      <c r="F11">
        <f t="shared" si="0"/>
        <v>9.4487172623827451</v>
      </c>
    </row>
    <row r="12" spans="2:7" x14ac:dyDescent="0.2">
      <c r="B12" t="s">
        <v>3</v>
      </c>
      <c r="C12" t="s">
        <v>6</v>
      </c>
      <c r="D12">
        <v>0.153031</v>
      </c>
      <c r="E12">
        <v>1.6543000000000001</v>
      </c>
      <c r="F12">
        <f t="shared" si="0"/>
        <v>10.810227993021023</v>
      </c>
    </row>
    <row r="13" spans="2:7" x14ac:dyDescent="0.2">
      <c r="B13" t="s">
        <v>3</v>
      </c>
      <c r="C13" t="s">
        <v>7</v>
      </c>
      <c r="D13">
        <v>0.11830400000000001</v>
      </c>
      <c r="E13">
        <v>1.72123</v>
      </c>
      <c r="F13">
        <f t="shared" si="0"/>
        <v>14.549212199080335</v>
      </c>
    </row>
    <row r="14" spans="2:7" x14ac:dyDescent="0.2">
      <c r="B14" t="s">
        <v>3</v>
      </c>
      <c r="C14" t="s">
        <v>8</v>
      </c>
      <c r="D14">
        <v>0.152696</v>
      </c>
      <c r="E14">
        <v>1.67574</v>
      </c>
      <c r="F14">
        <f t="shared" si="0"/>
        <v>10.97435427254152</v>
      </c>
    </row>
    <row r="15" spans="2:7" x14ac:dyDescent="0.2">
      <c r="B15" t="s">
        <v>3</v>
      </c>
      <c r="C15" t="s">
        <v>9</v>
      </c>
      <c r="D15">
        <v>0.20449400000000001</v>
      </c>
      <c r="E15">
        <v>1.61466</v>
      </c>
      <c r="F15">
        <f t="shared" si="0"/>
        <v>7.8958795857091157</v>
      </c>
    </row>
    <row r="16" spans="2:7" x14ac:dyDescent="0.2">
      <c r="B16" t="s">
        <v>10</v>
      </c>
      <c r="C16" t="s">
        <v>5</v>
      </c>
      <c r="D16">
        <v>0.15134400000000001</v>
      </c>
      <c r="E16">
        <v>1.4964</v>
      </c>
      <c r="F16">
        <f t="shared" si="0"/>
        <v>9.8874088169996828</v>
      </c>
    </row>
    <row r="17" spans="2:6" x14ac:dyDescent="0.2">
      <c r="B17" t="s">
        <v>10</v>
      </c>
      <c r="C17" t="s">
        <v>6</v>
      </c>
      <c r="D17">
        <v>0.14471999999999999</v>
      </c>
      <c r="E17">
        <v>1.5561</v>
      </c>
      <c r="F17">
        <f t="shared" si="0"/>
        <v>10.752487562189057</v>
      </c>
    </row>
    <row r="18" spans="2:6" x14ac:dyDescent="0.2">
      <c r="B18" t="s">
        <v>10</v>
      </c>
      <c r="C18" t="s">
        <v>7</v>
      </c>
      <c r="D18">
        <v>0.110656</v>
      </c>
      <c r="E18">
        <v>1.6247400000000001</v>
      </c>
      <c r="F18">
        <f t="shared" si="0"/>
        <v>14.6828007518797</v>
      </c>
    </row>
    <row r="19" spans="2:6" x14ac:dyDescent="0.2">
      <c r="B19" t="s">
        <v>10</v>
      </c>
      <c r="C19" t="s">
        <v>8</v>
      </c>
      <c r="D19">
        <v>0.13389799999999999</v>
      </c>
      <c r="E19">
        <v>1.58385</v>
      </c>
      <c r="F19">
        <f t="shared" si="0"/>
        <v>11.828780116207861</v>
      </c>
    </row>
    <row r="20" spans="2:6" x14ac:dyDescent="0.2">
      <c r="B20" t="s">
        <v>10</v>
      </c>
      <c r="C20" t="s">
        <v>9</v>
      </c>
      <c r="D20">
        <v>0.182537</v>
      </c>
      <c r="E20">
        <v>1.55535</v>
      </c>
      <c r="F20">
        <f t="shared" si="0"/>
        <v>8.5207382612840128</v>
      </c>
    </row>
    <row r="21" spans="2:6" x14ac:dyDescent="0.2">
      <c r="B21" t="s">
        <v>11</v>
      </c>
      <c r="C21" t="s">
        <v>5</v>
      </c>
      <c r="D21">
        <v>0.135515</v>
      </c>
      <c r="E21">
        <v>1.40629</v>
      </c>
      <c r="F21">
        <f t="shared" si="0"/>
        <v>10.37737519831753</v>
      </c>
    </row>
    <row r="22" spans="2:6" x14ac:dyDescent="0.2">
      <c r="B22" t="s">
        <v>11</v>
      </c>
      <c r="C22" t="s">
        <v>6</v>
      </c>
      <c r="D22">
        <v>0.12692300000000001</v>
      </c>
      <c r="E22">
        <v>1.4631000000000001</v>
      </c>
      <c r="F22">
        <f t="shared" si="0"/>
        <v>11.527461531794868</v>
      </c>
    </row>
    <row r="23" spans="2:6" x14ac:dyDescent="0.2">
      <c r="B23" t="s">
        <v>11</v>
      </c>
      <c r="C23" t="s">
        <v>7</v>
      </c>
      <c r="D23">
        <v>0.10270700000000001</v>
      </c>
      <c r="E23">
        <v>1.5246</v>
      </c>
      <c r="F23">
        <f t="shared" si="0"/>
        <v>14.844168362429045</v>
      </c>
    </row>
    <row r="24" spans="2:6" x14ac:dyDescent="0.2">
      <c r="B24" t="s">
        <v>11</v>
      </c>
      <c r="C24" t="s">
        <v>8</v>
      </c>
      <c r="D24">
        <v>0.122166</v>
      </c>
      <c r="E24">
        <v>1.4863</v>
      </c>
      <c r="F24">
        <f t="shared" si="0"/>
        <v>12.166232830738503</v>
      </c>
    </row>
    <row r="25" spans="2:6" x14ac:dyDescent="0.2">
      <c r="B25" t="s">
        <v>11</v>
      </c>
      <c r="C25" t="s">
        <v>9</v>
      </c>
      <c r="D25">
        <v>0.168022</v>
      </c>
      <c r="E25">
        <v>1.4474199999999999</v>
      </c>
      <c r="F25">
        <f t="shared" si="0"/>
        <v>8.6144671531109012</v>
      </c>
    </row>
    <row r="26" spans="2:6" x14ac:dyDescent="0.2">
      <c r="B26" t="s">
        <v>12</v>
      </c>
      <c r="C26" t="s">
        <v>5</v>
      </c>
      <c r="D26">
        <v>0.21310299999999999</v>
      </c>
      <c r="E26">
        <v>2.2935400000000001</v>
      </c>
      <c r="F26">
        <f t="shared" si="0"/>
        <v>10.76258898279236</v>
      </c>
    </row>
    <row r="27" spans="2:6" x14ac:dyDescent="0.2">
      <c r="B27" t="s">
        <v>12</v>
      </c>
      <c r="C27" t="s">
        <v>6</v>
      </c>
      <c r="D27">
        <v>0.19220499999999999</v>
      </c>
      <c r="E27">
        <v>2.36931</v>
      </c>
      <c r="F27">
        <f t="shared" si="0"/>
        <v>12.326994615124477</v>
      </c>
    </row>
    <row r="28" spans="2:6" x14ac:dyDescent="0.2">
      <c r="B28" t="s">
        <v>12</v>
      </c>
      <c r="C28" t="s">
        <v>7</v>
      </c>
      <c r="D28">
        <v>0.154228</v>
      </c>
      <c r="E28">
        <v>2.42218</v>
      </c>
      <c r="F28">
        <f t="shared" si="0"/>
        <v>15.705189719117151</v>
      </c>
    </row>
    <row r="29" spans="2:6" x14ac:dyDescent="0.2">
      <c r="B29" t="s">
        <v>12</v>
      </c>
      <c r="C29" t="s">
        <v>8</v>
      </c>
      <c r="D29">
        <v>0.20512</v>
      </c>
      <c r="E29">
        <v>2.37893</v>
      </c>
      <c r="F29">
        <f t="shared" si="0"/>
        <v>11.597747659906396</v>
      </c>
    </row>
    <row r="30" spans="2:6" x14ac:dyDescent="0.2">
      <c r="B30" t="s">
        <v>12</v>
      </c>
      <c r="C30" t="s">
        <v>9</v>
      </c>
      <c r="D30">
        <v>0.25304300000000002</v>
      </c>
      <c r="E30">
        <v>2.3181600000000002</v>
      </c>
      <c r="F30">
        <f t="shared" si="0"/>
        <v>9.1611307169137266</v>
      </c>
    </row>
    <row r="31" spans="2:6" x14ac:dyDescent="0.2">
      <c r="B31" t="s">
        <v>13</v>
      </c>
      <c r="C31" s="1" t="s">
        <v>5</v>
      </c>
      <c r="D31">
        <v>0.201908</v>
      </c>
      <c r="E31">
        <v>1.8006599999999999</v>
      </c>
      <c r="F31">
        <f t="shared" si="0"/>
        <v>8.9182201794876867</v>
      </c>
    </row>
    <row r="32" spans="2:6" x14ac:dyDescent="0.2">
      <c r="B32" t="s">
        <v>13</v>
      </c>
      <c r="C32" s="1" t="s">
        <v>6</v>
      </c>
      <c r="D32">
        <v>0.19147700000000001</v>
      </c>
      <c r="E32">
        <v>1.8682799999999999</v>
      </c>
      <c r="F32">
        <f t="shared" si="0"/>
        <v>9.7572032150075465</v>
      </c>
    </row>
    <row r="33" spans="2:6" x14ac:dyDescent="0.2">
      <c r="B33" t="s">
        <v>13</v>
      </c>
      <c r="C33" s="1" t="s">
        <v>7</v>
      </c>
      <c r="D33">
        <v>0.14040900000000001</v>
      </c>
      <c r="E33">
        <v>1.9510799999999999</v>
      </c>
      <c r="F33">
        <f t="shared" si="0"/>
        <v>13.895690447193555</v>
      </c>
    </row>
    <row r="34" spans="2:6" x14ac:dyDescent="0.2">
      <c r="B34" t="s">
        <v>13</v>
      </c>
      <c r="C34" s="1" t="s">
        <v>8</v>
      </c>
      <c r="D34">
        <v>0.18082799999999999</v>
      </c>
      <c r="E34">
        <v>1.8969400000000001</v>
      </c>
      <c r="F34">
        <f t="shared" si="0"/>
        <v>10.490300174751699</v>
      </c>
    </row>
    <row r="35" spans="2:6" x14ac:dyDescent="0.2">
      <c r="B35" t="s">
        <v>13</v>
      </c>
      <c r="C35" s="1" t="s">
        <v>9</v>
      </c>
      <c r="D35">
        <v>0.23525099999999999</v>
      </c>
      <c r="E35">
        <v>1.8367</v>
      </c>
      <c r="F35">
        <f t="shared" si="0"/>
        <v>7.8074057070958256</v>
      </c>
    </row>
    <row r="36" spans="2:6" x14ac:dyDescent="0.2">
      <c r="B36" t="s">
        <v>14</v>
      </c>
      <c r="C36" s="1" t="s">
        <v>5</v>
      </c>
      <c r="D36">
        <v>0.17451</v>
      </c>
      <c r="E36">
        <v>1.5482499999999999</v>
      </c>
      <c r="F36">
        <f t="shared" si="0"/>
        <v>8.8719844135006589</v>
      </c>
    </row>
    <row r="37" spans="2:6" x14ac:dyDescent="0.2">
      <c r="B37" t="s">
        <v>14</v>
      </c>
      <c r="C37" s="1" t="s">
        <v>6</v>
      </c>
      <c r="D37">
        <v>0.17185700000000001</v>
      </c>
      <c r="E37">
        <v>1.6109</v>
      </c>
      <c r="F37">
        <f t="shared" si="0"/>
        <v>9.3734907510313796</v>
      </c>
    </row>
    <row r="38" spans="2:6" x14ac:dyDescent="0.2">
      <c r="B38" t="s">
        <v>14</v>
      </c>
      <c r="C38" s="1" t="s">
        <v>7</v>
      </c>
      <c r="D38">
        <v>0.121768</v>
      </c>
      <c r="E38">
        <v>1.69472</v>
      </c>
      <c r="F38">
        <f t="shared" si="0"/>
        <v>13.917613823007686</v>
      </c>
    </row>
    <row r="39" spans="2:6" x14ac:dyDescent="0.2">
      <c r="B39" t="s">
        <v>14</v>
      </c>
      <c r="C39" s="1" t="s">
        <v>8</v>
      </c>
      <c r="D39">
        <v>0.150034</v>
      </c>
      <c r="E39">
        <v>1.6222399999999999</v>
      </c>
      <c r="F39">
        <f t="shared" si="0"/>
        <v>10.812482503965768</v>
      </c>
    </row>
    <row r="40" spans="2:6" x14ac:dyDescent="0.2">
      <c r="B40" t="s">
        <v>14</v>
      </c>
      <c r="C40" s="1" t="s">
        <v>9</v>
      </c>
      <c r="D40">
        <v>0.20677699999999999</v>
      </c>
      <c r="E40">
        <v>1.5862700000000001</v>
      </c>
      <c r="F40">
        <f t="shared" si="0"/>
        <v>7.6714044598770661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18O</vt:lpstr>
      <vt:lpstr>18F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Kawecka</dc:creator>
  <cp:lastModifiedBy>Anna Kawecka</cp:lastModifiedBy>
  <dcterms:created xsi:type="dcterms:W3CDTF">2025-06-16T12:28:20Z</dcterms:created>
  <dcterms:modified xsi:type="dcterms:W3CDTF">2025-06-17T12:20:22Z</dcterms:modified>
</cp:coreProperties>
</file>