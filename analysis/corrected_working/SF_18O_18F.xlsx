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wecka/digios/analysis/corrected_working/"/>
    </mc:Choice>
  </mc:AlternateContent>
  <xr:revisionPtr revIDLastSave="0" documentId="13_ncr:1_{888F6C3F-4D93-9F45-B70E-1A7FEB94C52D}" xr6:coauthVersionLast="47" xr6:coauthVersionMax="47" xr10:uidLastSave="{00000000-0000-0000-0000-000000000000}"/>
  <bookViews>
    <workbookView xWindow="0" yWindow="740" windowWidth="29400" windowHeight="17220" xr2:uid="{3ABE6ABB-8332-1E45-BF21-9E3D8711C9F0}"/>
  </bookViews>
  <sheets>
    <sheet name="18O" sheetId="1" r:id="rId1"/>
    <sheet name="18F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8" i="1"/>
  <c r="G19" i="1"/>
  <c r="G21" i="1"/>
  <c r="G23" i="1"/>
  <c r="G31" i="1"/>
  <c r="G32" i="1"/>
  <c r="G34" i="1"/>
  <c r="G36" i="1"/>
  <c r="G39" i="1"/>
  <c r="G5" i="1"/>
  <c r="L7" i="1"/>
  <c r="L13" i="1"/>
  <c r="L20" i="1"/>
  <c r="L21" i="1"/>
  <c r="L36" i="1"/>
  <c r="L38" i="1"/>
  <c r="K31" i="1"/>
  <c r="L31" i="1" s="1"/>
  <c r="K32" i="1"/>
  <c r="L32" i="1" s="1"/>
  <c r="K33" i="1"/>
  <c r="L33" i="1" s="1"/>
  <c r="K34" i="1"/>
  <c r="L34" i="1" s="1"/>
  <c r="K35" i="1"/>
  <c r="L35" i="1" s="1"/>
  <c r="K36" i="1"/>
  <c r="K37" i="1"/>
  <c r="L37" i="1" s="1"/>
  <c r="K38" i="1"/>
  <c r="K39" i="1"/>
  <c r="L39" i="1" s="1"/>
  <c r="K30" i="1"/>
  <c r="L30" i="1" s="1"/>
  <c r="K27" i="1"/>
  <c r="L27" i="1" s="1"/>
  <c r="K23" i="1"/>
  <c r="L23" i="1" s="1"/>
  <c r="K22" i="1"/>
  <c r="L22" i="1" s="1"/>
  <c r="K21" i="1"/>
  <c r="K20" i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K7" i="1"/>
  <c r="K8" i="1"/>
  <c r="L8" i="1" s="1"/>
  <c r="K9" i="1"/>
  <c r="L9" i="1" s="1"/>
  <c r="K10" i="1"/>
  <c r="L10" i="1" s="1"/>
  <c r="K11" i="1"/>
  <c r="L11" i="1" s="1"/>
  <c r="K12" i="1"/>
  <c r="L12" i="1" s="1"/>
  <c r="K6" i="1"/>
  <c r="L6" i="1" s="1"/>
  <c r="K5" i="1"/>
  <c r="L5" i="1" s="1"/>
  <c r="K3" i="1"/>
  <c r="F3" i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6" i="2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F16" i="1"/>
  <c r="G16" i="1" s="1"/>
  <c r="F17" i="1"/>
  <c r="G17" i="1" s="1"/>
  <c r="F18" i="1"/>
  <c r="F19" i="1"/>
  <c r="F20" i="1"/>
  <c r="G20" i="1" s="1"/>
  <c r="F21" i="1"/>
  <c r="F22" i="1"/>
  <c r="G22" i="1" s="1"/>
  <c r="F23" i="1"/>
  <c r="F27" i="1"/>
  <c r="G27" i="1" s="1"/>
  <c r="F30" i="1"/>
  <c r="G30" i="1" s="1"/>
  <c r="F31" i="1"/>
  <c r="F32" i="1"/>
  <c r="F33" i="1"/>
  <c r="G33" i="1" s="1"/>
  <c r="F34" i="1"/>
  <c r="F35" i="1"/>
  <c r="G35" i="1" s="1"/>
  <c r="F36" i="1"/>
  <c r="F37" i="1"/>
  <c r="G37" i="1" s="1"/>
  <c r="F38" i="1"/>
  <c r="G38" i="1" s="1"/>
  <c r="F39" i="1"/>
  <c r="F5" i="1"/>
</calcChain>
</file>

<file path=xl/sharedStrings.xml><?xml version="1.0" encoding="utf-8"?>
<sst xmlns="http://schemas.openxmlformats.org/spreadsheetml/2006/main" count="170" uniqueCount="29">
  <si>
    <t>1,982 MeV</t>
  </si>
  <si>
    <t>1s1/2</t>
  </si>
  <si>
    <t>0d5/2</t>
  </si>
  <si>
    <t>H</t>
  </si>
  <si>
    <t>A</t>
  </si>
  <si>
    <t>K</t>
  </si>
  <si>
    <t>V</t>
  </si>
  <si>
    <t>M</t>
  </si>
  <si>
    <t>G</t>
  </si>
  <si>
    <t>P</t>
  </si>
  <si>
    <t>B</t>
  </si>
  <si>
    <t>D</t>
  </si>
  <si>
    <t>L</t>
  </si>
  <si>
    <t>Q</t>
  </si>
  <si>
    <t>Z</t>
  </si>
  <si>
    <t>no half det</t>
  </si>
  <si>
    <t>4963,6 keV</t>
  </si>
  <si>
    <t>3061,84 keV</t>
  </si>
  <si>
    <t>half det</t>
  </si>
  <si>
    <t xml:space="preserve"> 0d5/2//1s1/2</t>
  </si>
  <si>
    <t>literature</t>
  </si>
  <si>
    <t>3.920 MeV</t>
  </si>
  <si>
    <t xml:space="preserve"> 0dX/2//1s1/2</t>
  </si>
  <si>
    <t>diff</t>
  </si>
  <si>
    <t>3.553 MeV</t>
  </si>
  <si>
    <t>3.552</t>
  </si>
  <si>
    <t>3.630</t>
  </si>
  <si>
    <t>5.255 MeV</t>
  </si>
  <si>
    <t>0 MeV (gs)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</si>
</sst>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8" borderId="2" xfId="0" applyFill="1" applyBorder="1"/>
    <xf numFmtId="0" fontId="0" fillId="8" borderId="4" xfId="0" applyFill="1" applyBorder="1"/>
    <xf numFmtId="0" fontId="0" fillId="8" borderId="5" xfId="0" applyFill="1" applyBorder="1"/>
    <xf numFmtId="0" fontId="0" fillId="9" borderId="2" xfId="0" applyFill="1" applyBorder="1"/>
    <xf numFmtId="0" fontId="0" fillId="9" borderId="4" xfId="0" applyFill="1" applyBorder="1"/>
    <xf numFmtId="0" fontId="0" fillId="9" borderId="5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792A-629E-104B-BC7C-CEC29C61C0D2}">
  <dimension ref="B1:S39"/>
  <sheetViews>
    <sheetView tabSelected="1" topLeftCell="A15" zoomScale="120" zoomScaleNormal="120" workbookViewId="0">
      <selection activeCell="S40" sqref="S40"/>
    </sheetView>
  </sheetViews>
  <sheetFormatPr baseColWidth="10" defaultRowHeight="16" x14ac:dyDescent="0.2"/>
  <cols>
    <col min="2" max="2" width="4.1640625" customWidth="1"/>
    <col min="3" max="3" width="3.33203125" customWidth="1"/>
    <col min="6" max="6" width="11.6640625" customWidth="1"/>
    <col min="11" max="11" width="11.6640625" customWidth="1"/>
  </cols>
  <sheetData>
    <row r="1" spans="2:19" ht="17" thickBot="1" x14ac:dyDescent="0.25"/>
    <row r="2" spans="2:19" ht="17" thickBot="1" x14ac:dyDescent="0.25">
      <c r="D2" s="5" t="s">
        <v>0</v>
      </c>
      <c r="E2" t="s">
        <v>20</v>
      </c>
      <c r="F2" s="2" t="s">
        <v>22</v>
      </c>
      <c r="I2" s="5" t="s">
        <v>21</v>
      </c>
      <c r="J2" t="s">
        <v>20</v>
      </c>
      <c r="K2" s="2" t="s">
        <v>22</v>
      </c>
      <c r="N2" s="5" t="s">
        <v>24</v>
      </c>
      <c r="Q2" s="5" t="s">
        <v>27</v>
      </c>
      <c r="S2" s="5" t="s">
        <v>28</v>
      </c>
    </row>
    <row r="3" spans="2:19" x14ac:dyDescent="0.2">
      <c r="D3" t="s">
        <v>18</v>
      </c>
      <c r="F3" s="3">
        <f>0.83/0.21</f>
        <v>3.9523809523809526</v>
      </c>
      <c r="K3" s="3">
        <f>0.66/0.35</f>
        <v>1.8857142857142859</v>
      </c>
      <c r="N3" t="s">
        <v>25</v>
      </c>
      <c r="O3" t="s">
        <v>26</v>
      </c>
    </row>
    <row r="4" spans="2:19" x14ac:dyDescent="0.2">
      <c r="D4" s="4" t="s">
        <v>1</v>
      </c>
      <c r="E4" s="4" t="s">
        <v>2</v>
      </c>
      <c r="F4" s="4" t="s">
        <v>19</v>
      </c>
      <c r="G4" s="35" t="s">
        <v>23</v>
      </c>
      <c r="H4" s="35"/>
      <c r="I4" s="4" t="s">
        <v>1</v>
      </c>
      <c r="J4" s="4" t="s">
        <v>2</v>
      </c>
      <c r="K4" s="4" t="s">
        <v>19</v>
      </c>
      <c r="L4" s="35" t="s">
        <v>23</v>
      </c>
      <c r="N4" s="4" t="s">
        <v>2</v>
      </c>
      <c r="O4" s="4" t="s">
        <v>2</v>
      </c>
      <c r="Q4" s="4" t="s">
        <v>1</v>
      </c>
      <c r="S4" s="4" t="s">
        <v>2</v>
      </c>
    </row>
    <row r="5" spans="2:19" x14ac:dyDescent="0.2">
      <c r="B5" s="9" t="s">
        <v>4</v>
      </c>
      <c r="C5" s="30" t="s">
        <v>5</v>
      </c>
      <c r="D5">
        <v>0.50975400000000004</v>
      </c>
      <c r="E5">
        <v>3.0304000000000002</v>
      </c>
      <c r="F5" s="6">
        <f>E5/D5</f>
        <v>5.9448282897240627</v>
      </c>
      <c r="G5">
        <f>ABS(F5-$F$3)</f>
        <v>1.9924473373431102</v>
      </c>
      <c r="I5">
        <v>1.2305999999999999</v>
      </c>
      <c r="J5">
        <v>1.80183</v>
      </c>
      <c r="K5" s="6">
        <f>J5/I5</f>
        <v>1.4641882008776208</v>
      </c>
      <c r="L5">
        <f>ABS(K5-$K$3)</f>
        <v>0.42152608483666509</v>
      </c>
      <c r="N5">
        <v>5.51715</v>
      </c>
      <c r="O5">
        <v>48.037199999999999</v>
      </c>
      <c r="Q5">
        <v>7.0998700000000001</v>
      </c>
      <c r="S5">
        <v>3.2964500000000001</v>
      </c>
    </row>
    <row r="6" spans="2:19" x14ac:dyDescent="0.2">
      <c r="B6" s="10" t="s">
        <v>4</v>
      </c>
      <c r="C6" s="31" t="s">
        <v>6</v>
      </c>
      <c r="D6">
        <v>0.52033099999999999</v>
      </c>
      <c r="E6">
        <v>3.1882600000000001</v>
      </c>
      <c r="F6" s="7">
        <f t="shared" ref="F6:F39" si="0">E6/D6</f>
        <v>6.1273689247805727</v>
      </c>
      <c r="G6">
        <f t="shared" ref="G6:G39" si="1">ABS(F6-$F$3)</f>
        <v>2.1749879723996202</v>
      </c>
      <c r="I6">
        <v>1.2332799999999999</v>
      </c>
      <c r="J6">
        <v>1.8972</v>
      </c>
      <c r="K6" s="7">
        <f>J6/I6</f>
        <v>1.5383367929423977</v>
      </c>
      <c r="L6">
        <f>ABS(K6-$K$3)</f>
        <v>0.34737749277188823</v>
      </c>
      <c r="N6">
        <v>5.5908699999999998</v>
      </c>
      <c r="O6">
        <v>49.734999999999999</v>
      </c>
      <c r="Q6">
        <v>7.7332799999999997</v>
      </c>
      <c r="S6">
        <v>3.4656600000000002</v>
      </c>
    </row>
    <row r="7" spans="2:19" x14ac:dyDescent="0.2">
      <c r="B7" s="10" t="s">
        <v>4</v>
      </c>
      <c r="C7" s="32" t="s">
        <v>7</v>
      </c>
      <c r="D7">
        <v>0.50911099999999998</v>
      </c>
      <c r="E7">
        <v>3.51823</v>
      </c>
      <c r="F7" s="7">
        <f t="shared" si="0"/>
        <v>6.9105362091960298</v>
      </c>
      <c r="G7">
        <f t="shared" si="1"/>
        <v>2.9581552568150773</v>
      </c>
      <c r="I7">
        <v>1.2446200000000001</v>
      </c>
      <c r="J7">
        <v>2.1539899999999998</v>
      </c>
      <c r="K7" s="7">
        <f t="shared" ref="K7:K23" si="2">J7/I7</f>
        <v>1.7306406774758558</v>
      </c>
      <c r="L7">
        <f>ABS(K7-$K$3)</f>
        <v>0.15507360823843008</v>
      </c>
      <c r="N7">
        <v>6.2110300000000001</v>
      </c>
      <c r="O7">
        <v>55.26</v>
      </c>
      <c r="Q7">
        <v>7.6856</v>
      </c>
      <c r="S7">
        <v>3.7284000000000002</v>
      </c>
    </row>
    <row r="8" spans="2:19" x14ac:dyDescent="0.2">
      <c r="B8" s="10" t="s">
        <v>4</v>
      </c>
      <c r="C8" s="33" t="s">
        <v>8</v>
      </c>
      <c r="D8">
        <v>0.52423900000000001</v>
      </c>
      <c r="E8">
        <v>3.3570099999999998</v>
      </c>
      <c r="F8" s="7">
        <f t="shared" si="0"/>
        <v>6.4035869136023829</v>
      </c>
      <c r="G8">
        <f t="shared" si="1"/>
        <v>2.4512059612214303</v>
      </c>
      <c r="I8">
        <v>1.26976</v>
      </c>
      <c r="J8">
        <v>1.9996700000000001</v>
      </c>
      <c r="K8" s="7">
        <f t="shared" si="2"/>
        <v>1.5748409148185485</v>
      </c>
      <c r="L8">
        <f>ABS(K8-$K$3)</f>
        <v>0.31087337089573741</v>
      </c>
      <c r="N8">
        <v>5.9757199999999999</v>
      </c>
      <c r="O8">
        <v>53.1509</v>
      </c>
      <c r="Q8">
        <v>7.2277699999999996</v>
      </c>
      <c r="S8">
        <v>3.63666</v>
      </c>
    </row>
    <row r="9" spans="2:19" x14ac:dyDescent="0.2">
      <c r="B9" s="11" t="s">
        <v>4</v>
      </c>
      <c r="C9" s="34" t="s">
        <v>9</v>
      </c>
      <c r="D9">
        <v>0.56957899999999995</v>
      </c>
      <c r="E9">
        <v>3.03403</v>
      </c>
      <c r="F9" s="7">
        <f t="shared" si="0"/>
        <v>5.3267940004810574</v>
      </c>
      <c r="G9">
        <f t="shared" si="1"/>
        <v>1.3744130481001049</v>
      </c>
      <c r="I9">
        <v>1.3100499999999999</v>
      </c>
      <c r="J9">
        <v>1.77512</v>
      </c>
      <c r="K9" s="7">
        <f t="shared" si="2"/>
        <v>1.3550017174916988</v>
      </c>
      <c r="L9">
        <f>ABS(K9-$K$3)</f>
        <v>0.53071256822258706</v>
      </c>
      <c r="N9">
        <v>5.5556900000000002</v>
      </c>
      <c r="O9">
        <v>49.4236</v>
      </c>
      <c r="Q9">
        <v>6.6702199999999996</v>
      </c>
      <c r="S9">
        <v>3.4113899999999999</v>
      </c>
    </row>
    <row r="10" spans="2:19" x14ac:dyDescent="0.2">
      <c r="B10" s="12" t="s">
        <v>3</v>
      </c>
      <c r="C10" s="30" t="s">
        <v>5</v>
      </c>
      <c r="D10">
        <v>0.41789599999999999</v>
      </c>
      <c r="E10">
        <v>2.87385</v>
      </c>
      <c r="F10" s="7">
        <f t="shared" si="0"/>
        <v>6.8769502459942187</v>
      </c>
      <c r="G10">
        <f t="shared" si="1"/>
        <v>2.9245692936132661</v>
      </c>
      <c r="I10">
        <v>1.0347500000000001</v>
      </c>
      <c r="J10">
        <v>1.8422000000000001</v>
      </c>
      <c r="K10" s="7">
        <f t="shared" si="2"/>
        <v>1.780333413868084</v>
      </c>
      <c r="L10">
        <f>ABS(K10-$K$3)</f>
        <v>0.10538087184620193</v>
      </c>
      <c r="N10">
        <v>4.9801700000000002</v>
      </c>
      <c r="O10">
        <v>44.333300000000001</v>
      </c>
      <c r="Q10">
        <v>6.2130999999999998</v>
      </c>
      <c r="S10">
        <v>3.0224899999999999</v>
      </c>
    </row>
    <row r="11" spans="2:19" x14ac:dyDescent="0.2">
      <c r="B11" s="13" t="s">
        <v>3</v>
      </c>
      <c r="C11" s="31" t="s">
        <v>6</v>
      </c>
      <c r="D11">
        <v>0.42325499999999999</v>
      </c>
      <c r="E11">
        <v>3.0214699999999999</v>
      </c>
      <c r="F11" s="7">
        <f t="shared" si="0"/>
        <v>7.1386516402641433</v>
      </c>
      <c r="G11">
        <f t="shared" si="1"/>
        <v>3.1862706878831908</v>
      </c>
      <c r="I11">
        <v>1.06931</v>
      </c>
      <c r="J11">
        <v>1.9027799999999999</v>
      </c>
      <c r="K11" s="7">
        <f t="shared" si="2"/>
        <v>1.779446558995988</v>
      </c>
      <c r="L11">
        <f>ABS(K11-$K$3)</f>
        <v>0.10626772671829787</v>
      </c>
      <c r="N11">
        <v>5.1605699999999999</v>
      </c>
      <c r="O11">
        <v>45.914900000000003</v>
      </c>
      <c r="Q11">
        <v>6.8384499999999999</v>
      </c>
      <c r="S11">
        <v>3.1656900000000001</v>
      </c>
    </row>
    <row r="12" spans="2:19" x14ac:dyDescent="0.2">
      <c r="B12" s="13" t="s">
        <v>3</v>
      </c>
      <c r="C12" s="32" t="s">
        <v>7</v>
      </c>
      <c r="D12">
        <v>0.41116799999999998</v>
      </c>
      <c r="E12">
        <v>3.28796</v>
      </c>
      <c r="F12" s="7">
        <f t="shared" si="0"/>
        <v>7.9966339792980001</v>
      </c>
      <c r="G12">
        <f t="shared" si="1"/>
        <v>4.0442530269170476</v>
      </c>
      <c r="I12">
        <v>1.04322</v>
      </c>
      <c r="J12">
        <v>2.1477499999999998</v>
      </c>
      <c r="K12" s="7">
        <f t="shared" si="2"/>
        <v>2.058769962232319</v>
      </c>
      <c r="L12">
        <f>ABS(K12-$K$3)</f>
        <v>0.17305567651803311</v>
      </c>
      <c r="N12">
        <v>5.6804100000000002</v>
      </c>
      <c r="O12">
        <v>50.584699999999998</v>
      </c>
      <c r="Q12">
        <v>6.5793499999999998</v>
      </c>
      <c r="S12">
        <v>3.37561</v>
      </c>
    </row>
    <row r="13" spans="2:19" x14ac:dyDescent="0.2">
      <c r="B13" s="13" t="s">
        <v>3</v>
      </c>
      <c r="C13" s="33" t="s">
        <v>8</v>
      </c>
      <c r="D13">
        <v>0.43305900000000003</v>
      </c>
      <c r="E13">
        <v>3.15388</v>
      </c>
      <c r="F13" s="7">
        <f t="shared" si="0"/>
        <v>7.2827951849517039</v>
      </c>
      <c r="G13">
        <f t="shared" si="1"/>
        <v>3.3304142325707513</v>
      </c>
      <c r="I13">
        <v>1.0579499999999999</v>
      </c>
      <c r="J13">
        <v>2.0288599999999999</v>
      </c>
      <c r="K13" s="7">
        <f t="shared" si="2"/>
        <v>1.9177276808922916</v>
      </c>
      <c r="L13">
        <f>ABS(K13-$K$3)</f>
        <v>3.2013395178005721E-2</v>
      </c>
      <c r="N13">
        <v>5.4885799999999998</v>
      </c>
      <c r="O13">
        <v>48.849699999999999</v>
      </c>
      <c r="Q13">
        <v>6.2120899999999999</v>
      </c>
      <c r="S13">
        <v>3.3210299999999999</v>
      </c>
    </row>
    <row r="14" spans="2:19" x14ac:dyDescent="0.2">
      <c r="B14" s="14" t="s">
        <v>3</v>
      </c>
      <c r="C14" s="34" t="s">
        <v>9</v>
      </c>
      <c r="D14">
        <v>0.47031000000000001</v>
      </c>
      <c r="E14">
        <v>2.8599800000000002</v>
      </c>
      <c r="F14" s="7">
        <f t="shared" si="0"/>
        <v>6.0810529225404526</v>
      </c>
      <c r="G14">
        <f t="shared" si="1"/>
        <v>2.1286719701595</v>
      </c>
      <c r="I14">
        <v>1.0791599999999999</v>
      </c>
      <c r="J14">
        <v>1.8391</v>
      </c>
      <c r="K14" s="7">
        <f t="shared" si="2"/>
        <v>1.7041958560361765</v>
      </c>
      <c r="L14">
        <f>ABS(K14-$K$3)</f>
        <v>0.18151842967810938</v>
      </c>
      <c r="N14">
        <v>5.0930499999999999</v>
      </c>
      <c r="O14">
        <v>45.332500000000003</v>
      </c>
      <c r="Q14">
        <v>5.8228099999999996</v>
      </c>
      <c r="S14">
        <v>3.0944400000000001</v>
      </c>
    </row>
    <row r="15" spans="2:19" x14ac:dyDescent="0.2">
      <c r="B15" s="15" t="s">
        <v>10</v>
      </c>
      <c r="C15" s="30" t="s">
        <v>5</v>
      </c>
      <c r="D15">
        <v>0.42122100000000001</v>
      </c>
      <c r="E15">
        <v>3.10778</v>
      </c>
      <c r="F15" s="7">
        <f t="shared" si="0"/>
        <v>7.3780272113688534</v>
      </c>
      <c r="G15">
        <f t="shared" si="1"/>
        <v>3.4256462589879009</v>
      </c>
      <c r="I15">
        <v>1.04383</v>
      </c>
      <c r="J15">
        <v>1.98994</v>
      </c>
      <c r="K15" s="7">
        <f t="shared" si="2"/>
        <v>1.9063832233218052</v>
      </c>
      <c r="L15">
        <f>ABS(K15-$K$3)</f>
        <v>2.0668937607519311E-2</v>
      </c>
      <c r="N15">
        <v>5.4375999999999998</v>
      </c>
      <c r="O15">
        <v>48.389699999999998</v>
      </c>
      <c r="Q15">
        <v>5.8671300000000004</v>
      </c>
      <c r="S15">
        <v>3.2338499999999999</v>
      </c>
    </row>
    <row r="16" spans="2:19" x14ac:dyDescent="0.2">
      <c r="B16" s="16" t="s">
        <v>10</v>
      </c>
      <c r="C16" s="31" t="s">
        <v>6</v>
      </c>
      <c r="D16">
        <v>0.43271399999999999</v>
      </c>
      <c r="E16">
        <v>3.27474</v>
      </c>
      <c r="F16" s="7">
        <f t="shared" si="0"/>
        <v>7.5679085955157452</v>
      </c>
      <c r="G16">
        <f t="shared" si="1"/>
        <v>3.6155276431347927</v>
      </c>
      <c r="I16">
        <v>1.09596</v>
      </c>
      <c r="J16">
        <v>2.0509300000000001</v>
      </c>
      <c r="K16" s="7">
        <f t="shared" si="2"/>
        <v>1.871354793970583</v>
      </c>
      <c r="L16">
        <f>ABS(K16-$K$3)</f>
        <v>1.4359491743702879E-2</v>
      </c>
      <c r="N16">
        <v>5.6488300000000002</v>
      </c>
      <c r="O16">
        <v>50.260599999999997</v>
      </c>
      <c r="Q16">
        <v>6.5021199999999997</v>
      </c>
      <c r="S16">
        <v>3.4000300000000001</v>
      </c>
    </row>
    <row r="17" spans="2:19" x14ac:dyDescent="0.2">
      <c r="B17" s="16" t="s">
        <v>10</v>
      </c>
      <c r="C17" s="32" t="s">
        <v>7</v>
      </c>
      <c r="D17">
        <v>0.41596699999999998</v>
      </c>
      <c r="E17">
        <v>3.5846399999999998</v>
      </c>
      <c r="F17" s="7">
        <f t="shared" si="0"/>
        <v>8.6176066851456969</v>
      </c>
      <c r="G17">
        <f t="shared" si="1"/>
        <v>4.6652257327647444</v>
      </c>
      <c r="I17">
        <v>1.05871</v>
      </c>
      <c r="J17">
        <v>2.3536100000000002</v>
      </c>
      <c r="K17" s="7">
        <f t="shared" si="2"/>
        <v>2.2230922537805444</v>
      </c>
      <c r="L17">
        <f>ABS(K17-$K$3)</f>
        <v>0.33737796806625853</v>
      </c>
      <c r="N17">
        <v>6.2532500000000004</v>
      </c>
      <c r="O17">
        <v>55.679499999999997</v>
      </c>
      <c r="Q17">
        <v>6.2925700000000004</v>
      </c>
      <c r="S17">
        <v>3.6270699999999998</v>
      </c>
    </row>
    <row r="18" spans="2:19" x14ac:dyDescent="0.2">
      <c r="B18" s="16" t="s">
        <v>10</v>
      </c>
      <c r="C18" s="33" t="s">
        <v>8</v>
      </c>
      <c r="D18">
        <v>0.43458599999999997</v>
      </c>
      <c r="E18">
        <v>3.4355000000000002</v>
      </c>
      <c r="F18" s="7">
        <f t="shared" si="0"/>
        <v>7.9052247426286177</v>
      </c>
      <c r="G18">
        <f t="shared" si="1"/>
        <v>3.9528437902476652</v>
      </c>
      <c r="I18">
        <v>1.0690599999999999</v>
      </c>
      <c r="J18">
        <v>2.20899</v>
      </c>
      <c r="K18" s="7">
        <f t="shared" si="2"/>
        <v>2.0662918825884424</v>
      </c>
      <c r="L18">
        <f>ABS(K18-$K$3)</f>
        <v>0.18057759687415653</v>
      </c>
      <c r="N18">
        <v>6.0217299999999998</v>
      </c>
      <c r="O18">
        <v>53.596299999999999</v>
      </c>
      <c r="Q18">
        <v>5.9234600000000004</v>
      </c>
      <c r="S18">
        <v>3.5679599999999998</v>
      </c>
    </row>
    <row r="19" spans="2:19" x14ac:dyDescent="0.2">
      <c r="B19" s="17" t="s">
        <v>10</v>
      </c>
      <c r="C19" s="34" t="s">
        <v>9</v>
      </c>
      <c r="D19">
        <v>0.47330699999999998</v>
      </c>
      <c r="E19">
        <v>3.13368</v>
      </c>
      <c r="F19" s="7">
        <f t="shared" si="0"/>
        <v>6.6208190455666198</v>
      </c>
      <c r="G19">
        <f t="shared" si="1"/>
        <v>2.6684380931856673</v>
      </c>
      <c r="I19">
        <v>1.08707</v>
      </c>
      <c r="J19">
        <v>2.0002800000000001</v>
      </c>
      <c r="K19" s="7">
        <f t="shared" si="2"/>
        <v>1.8400654971620964</v>
      </c>
      <c r="L19">
        <f>ABS(K19-$K$3)</f>
        <v>4.5648788552189457E-2</v>
      </c>
      <c r="N19">
        <v>5.6083999999999996</v>
      </c>
      <c r="O19">
        <v>49.906300000000002</v>
      </c>
      <c r="Q19">
        <v>5.5282299999999998</v>
      </c>
      <c r="S19">
        <v>3.36253</v>
      </c>
    </row>
    <row r="20" spans="2:19" x14ac:dyDescent="0.2">
      <c r="B20" s="18" t="s">
        <v>11</v>
      </c>
      <c r="C20" s="30" t="s">
        <v>5</v>
      </c>
      <c r="D20">
        <v>0.41753699999999999</v>
      </c>
      <c r="E20">
        <v>2.9118900000000001</v>
      </c>
      <c r="F20" s="7">
        <f t="shared" si="0"/>
        <v>6.9739687740248177</v>
      </c>
      <c r="G20">
        <f t="shared" si="1"/>
        <v>3.0215878216438652</v>
      </c>
      <c r="I20">
        <v>1.0771599999999999</v>
      </c>
      <c r="J20">
        <v>1.7906899999999999</v>
      </c>
      <c r="K20" s="7">
        <f t="shared" si="2"/>
        <v>1.6624178395038807</v>
      </c>
      <c r="L20">
        <f>ABS(K20-$K$3)</f>
        <v>0.22329644621040523</v>
      </c>
      <c r="N20">
        <v>5.0633999999999997</v>
      </c>
      <c r="O20">
        <v>45.080599999999997</v>
      </c>
      <c r="Q20">
        <v>6.5784500000000001</v>
      </c>
      <c r="S20">
        <v>3.0030000000000001</v>
      </c>
    </row>
    <row r="21" spans="2:19" x14ac:dyDescent="0.2">
      <c r="B21" s="19" t="s">
        <v>11</v>
      </c>
      <c r="C21" s="31" t="s">
        <v>6</v>
      </c>
      <c r="D21">
        <v>0.42297600000000002</v>
      </c>
      <c r="E21">
        <v>3.06453</v>
      </c>
      <c r="F21" s="7">
        <f t="shared" si="0"/>
        <v>7.2451628461189284</v>
      </c>
      <c r="G21">
        <f t="shared" si="1"/>
        <v>3.2927818937379758</v>
      </c>
      <c r="I21">
        <v>1.08697</v>
      </c>
      <c r="J21">
        <v>1.8753</v>
      </c>
      <c r="K21" s="7">
        <f t="shared" si="2"/>
        <v>1.7252546068428751</v>
      </c>
      <c r="L21">
        <f>ABS(K21-$K$3)</f>
        <v>0.16045967887141077</v>
      </c>
      <c r="N21">
        <v>5.2403000000000004</v>
      </c>
      <c r="O21">
        <v>46.636099999999999</v>
      </c>
      <c r="Q21">
        <v>7.1804199999999998</v>
      </c>
      <c r="S21">
        <v>3.1513800000000001</v>
      </c>
    </row>
    <row r="22" spans="2:19" x14ac:dyDescent="0.2">
      <c r="B22" s="19" t="s">
        <v>11</v>
      </c>
      <c r="C22" s="32" t="s">
        <v>7</v>
      </c>
      <c r="D22">
        <v>0.41909999999999997</v>
      </c>
      <c r="E22">
        <v>3.3502000000000001</v>
      </c>
      <c r="F22" s="7">
        <f t="shared" si="0"/>
        <v>7.9937962300167031</v>
      </c>
      <c r="G22">
        <f t="shared" si="1"/>
        <v>4.0414152776357506</v>
      </c>
      <c r="I22">
        <v>1.08958</v>
      </c>
      <c r="J22">
        <v>2.1211799999999998</v>
      </c>
      <c r="K22" s="7">
        <f t="shared" si="2"/>
        <v>1.9467868352943334</v>
      </c>
      <c r="L22">
        <f>ABS(K22-$K$3)</f>
        <v>6.1072549580047486E-2</v>
      </c>
      <c r="N22">
        <v>5.8003</v>
      </c>
      <c r="O22">
        <v>51.6477</v>
      </c>
      <c r="Q22">
        <v>7.11965</v>
      </c>
      <c r="S22">
        <v>3.3783300000000001</v>
      </c>
    </row>
    <row r="23" spans="2:19" x14ac:dyDescent="0.2">
      <c r="B23" s="19" t="s">
        <v>11</v>
      </c>
      <c r="C23" s="33" t="s">
        <v>8</v>
      </c>
      <c r="D23">
        <v>0.43003200000000003</v>
      </c>
      <c r="E23">
        <v>3.2103999999999999</v>
      </c>
      <c r="F23" s="7">
        <f t="shared" si="0"/>
        <v>7.4654909402090999</v>
      </c>
      <c r="G23">
        <f t="shared" si="1"/>
        <v>3.5131099878281473</v>
      </c>
      <c r="I23">
        <v>1.10812</v>
      </c>
      <c r="J23">
        <v>1.9831399999999999</v>
      </c>
      <c r="K23" s="7">
        <f t="shared" si="2"/>
        <v>1.7896437208966538</v>
      </c>
      <c r="L23">
        <f>ABS(K23-$K$3)</f>
        <v>9.6070564817632098E-2</v>
      </c>
      <c r="N23">
        <v>5.5898399999999997</v>
      </c>
      <c r="O23">
        <v>49.747799999999998</v>
      </c>
      <c r="Q23">
        <v>6.6969900000000004</v>
      </c>
      <c r="S23">
        <v>3.2955700000000001</v>
      </c>
    </row>
    <row r="24" spans="2:19" x14ac:dyDescent="0.2">
      <c r="B24" s="20" t="s">
        <v>11</v>
      </c>
      <c r="C24" s="34" t="s">
        <v>9</v>
      </c>
      <c r="F24" s="7"/>
      <c r="K24" s="7"/>
      <c r="S24">
        <v>3.1013899999999999</v>
      </c>
    </row>
    <row r="25" spans="2:19" x14ac:dyDescent="0.2">
      <c r="B25" s="21" t="s">
        <v>12</v>
      </c>
      <c r="C25" s="30" t="s">
        <v>5</v>
      </c>
      <c r="F25" s="7"/>
      <c r="K25" s="7"/>
      <c r="S25">
        <v>5.37791</v>
      </c>
    </row>
    <row r="26" spans="2:19" x14ac:dyDescent="0.2">
      <c r="B26" s="22" t="s">
        <v>12</v>
      </c>
      <c r="C26" s="31" t="s">
        <v>6</v>
      </c>
      <c r="F26" s="7"/>
      <c r="K26" s="7"/>
      <c r="S26">
        <v>5.5034900000000002</v>
      </c>
    </row>
    <row r="27" spans="2:19" x14ac:dyDescent="0.2">
      <c r="B27" s="22" t="s">
        <v>12</v>
      </c>
      <c r="C27" s="32" t="s">
        <v>7</v>
      </c>
      <c r="D27">
        <v>0.79408800000000002</v>
      </c>
      <c r="E27">
        <v>4.9477700000000002</v>
      </c>
      <c r="F27" s="7">
        <f t="shared" si="0"/>
        <v>6.2307578001430572</v>
      </c>
      <c r="G27">
        <f t="shared" si="1"/>
        <v>2.2783768477621047</v>
      </c>
      <c r="I27">
        <v>1.1999899999999999</v>
      </c>
      <c r="J27">
        <v>3.2099799999999998</v>
      </c>
      <c r="K27" s="7">
        <f>J27/I27</f>
        <v>2.6750056250468757</v>
      </c>
      <c r="L27">
        <f>ABS(K27-$K$3)</f>
        <v>0.78929133933258977</v>
      </c>
      <c r="N27">
        <v>8.0787600000000008</v>
      </c>
      <c r="O27">
        <v>71.751199999999997</v>
      </c>
      <c r="Q27">
        <v>9.5980699999999999</v>
      </c>
      <c r="S27">
        <v>5.9730800000000004</v>
      </c>
    </row>
    <row r="28" spans="2:19" x14ac:dyDescent="0.2">
      <c r="B28" s="22" t="s">
        <v>12</v>
      </c>
      <c r="C28" s="33" t="s">
        <v>8</v>
      </c>
      <c r="F28" s="7"/>
      <c r="K28" s="7"/>
      <c r="S28">
        <v>5.8974399999999996</v>
      </c>
    </row>
    <row r="29" spans="2:19" x14ac:dyDescent="0.2">
      <c r="B29" s="23" t="s">
        <v>12</v>
      </c>
      <c r="C29" s="34" t="s">
        <v>9</v>
      </c>
      <c r="F29" s="7"/>
      <c r="K29" s="7"/>
      <c r="S29">
        <v>5.5428899999999999</v>
      </c>
    </row>
    <row r="30" spans="2:19" x14ac:dyDescent="0.2">
      <c r="B30" s="24" t="s">
        <v>13</v>
      </c>
      <c r="C30" s="30" t="s">
        <v>5</v>
      </c>
      <c r="D30">
        <v>0.60182400000000003</v>
      </c>
      <c r="E30">
        <v>3.65578</v>
      </c>
      <c r="F30" s="7">
        <f t="shared" si="0"/>
        <v>6.07450018610092</v>
      </c>
      <c r="G30">
        <f t="shared" si="1"/>
        <v>2.1221192337199675</v>
      </c>
      <c r="I30">
        <v>1.3165899999999999</v>
      </c>
      <c r="J30">
        <v>2.1745299999999999</v>
      </c>
      <c r="K30" s="7">
        <f>J30/I30</f>
        <v>1.6516379434751898</v>
      </c>
      <c r="L30">
        <f>ABS(K30-$K$3)</f>
        <v>0.23407634223909612</v>
      </c>
      <c r="N30">
        <v>6.2786799999999996</v>
      </c>
      <c r="O30">
        <v>55.801600000000001</v>
      </c>
      <c r="Q30">
        <v>7.3128000000000002</v>
      </c>
      <c r="S30">
        <v>4.1921200000000001</v>
      </c>
    </row>
    <row r="31" spans="2:19" x14ac:dyDescent="0.2">
      <c r="B31" s="25" t="s">
        <v>13</v>
      </c>
      <c r="C31" s="31" t="s">
        <v>6</v>
      </c>
      <c r="D31">
        <v>0.61294300000000002</v>
      </c>
      <c r="E31">
        <v>3.8193000000000001</v>
      </c>
      <c r="F31" s="7">
        <f t="shared" si="0"/>
        <v>6.2310851090558179</v>
      </c>
      <c r="G31">
        <f t="shared" si="1"/>
        <v>2.2787041566748654</v>
      </c>
      <c r="I31">
        <v>1.3347599999999999</v>
      </c>
      <c r="J31">
        <v>2.2566999999999999</v>
      </c>
      <c r="K31" s="7">
        <f t="shared" ref="K31:K39" si="3">J31/I31</f>
        <v>1.6907159339506728</v>
      </c>
      <c r="L31">
        <f>ABS(K31-$K$3)</f>
        <v>0.19499835176361313</v>
      </c>
      <c r="N31">
        <v>6.47417</v>
      </c>
      <c r="O31">
        <v>57.527500000000003</v>
      </c>
      <c r="Q31">
        <v>7.96922</v>
      </c>
      <c r="S31">
        <v>4.3635700000000002</v>
      </c>
    </row>
    <row r="32" spans="2:19" x14ac:dyDescent="0.2">
      <c r="B32" s="25" t="s">
        <v>13</v>
      </c>
      <c r="C32" s="32" t="s">
        <v>7</v>
      </c>
      <c r="D32">
        <v>0.59227300000000005</v>
      </c>
      <c r="E32">
        <v>4.1832799999999999</v>
      </c>
      <c r="F32" s="7">
        <f t="shared" si="0"/>
        <v>7.0630942149988254</v>
      </c>
      <c r="G32">
        <f t="shared" si="1"/>
        <v>3.1107132626178728</v>
      </c>
      <c r="I32">
        <v>1.3169500000000001</v>
      </c>
      <c r="J32">
        <v>2.5416500000000002</v>
      </c>
      <c r="K32" s="7">
        <f t="shared" si="3"/>
        <v>1.9299517825278105</v>
      </c>
      <c r="L32">
        <f>ABS(K32-$K$3)</f>
        <v>4.4237496813524624E-2</v>
      </c>
      <c r="N32">
        <v>7.09924</v>
      </c>
      <c r="O32">
        <v>63.089700000000001</v>
      </c>
      <c r="Q32">
        <v>7.7538099999999996</v>
      </c>
      <c r="S32">
        <v>4.6770899999999997</v>
      </c>
    </row>
    <row r="33" spans="2:19" x14ac:dyDescent="0.2">
      <c r="B33" s="25" t="s">
        <v>13</v>
      </c>
      <c r="C33" s="33" t="s">
        <v>8</v>
      </c>
      <c r="D33">
        <v>0.63284099999999999</v>
      </c>
      <c r="E33">
        <v>3.9975299999999998</v>
      </c>
      <c r="F33" s="7">
        <f t="shared" si="0"/>
        <v>6.3167999544909383</v>
      </c>
      <c r="G33">
        <f t="shared" si="1"/>
        <v>2.3644190021099858</v>
      </c>
      <c r="I33">
        <v>1.35507</v>
      </c>
      <c r="J33">
        <v>2.3805399999999999</v>
      </c>
      <c r="K33" s="7">
        <f t="shared" si="3"/>
        <v>1.7567653331562205</v>
      </c>
      <c r="L33">
        <f>ABS(K33-$K$3)</f>
        <v>0.12894895255806538</v>
      </c>
      <c r="N33">
        <v>6.89642</v>
      </c>
      <c r="O33">
        <v>61.3001</v>
      </c>
      <c r="Q33">
        <v>7.3190099999999996</v>
      </c>
      <c r="S33">
        <v>4.6220999999999997</v>
      </c>
    </row>
    <row r="34" spans="2:19" x14ac:dyDescent="0.2">
      <c r="B34" s="26" t="s">
        <v>13</v>
      </c>
      <c r="C34" s="34" t="s">
        <v>9</v>
      </c>
      <c r="D34">
        <v>0.66546499999999997</v>
      </c>
      <c r="E34">
        <v>3.6390099999999999</v>
      </c>
      <c r="F34" s="7">
        <f t="shared" si="0"/>
        <v>5.4683717400614604</v>
      </c>
      <c r="G34">
        <f t="shared" si="1"/>
        <v>1.5159907876805079</v>
      </c>
      <c r="I34">
        <v>1.3777699999999999</v>
      </c>
      <c r="J34">
        <v>2.1577799999999998</v>
      </c>
      <c r="K34" s="7">
        <f t="shared" si="3"/>
        <v>1.5661394862712934</v>
      </c>
      <c r="L34">
        <f>ABS(K34-$K$3)</f>
        <v>0.3195747994429925</v>
      </c>
      <c r="N34">
        <v>6.4173200000000001</v>
      </c>
      <c r="O34">
        <v>57.0227</v>
      </c>
      <c r="Q34">
        <v>6.8226199999999997</v>
      </c>
      <c r="S34">
        <v>4.3030999999999997</v>
      </c>
    </row>
    <row r="35" spans="2:19" x14ac:dyDescent="0.2">
      <c r="B35" s="27" t="s">
        <v>14</v>
      </c>
      <c r="C35" s="30" t="s">
        <v>5</v>
      </c>
      <c r="D35">
        <v>0.458177</v>
      </c>
      <c r="E35">
        <v>3.1156899999999998</v>
      </c>
      <c r="F35" s="7">
        <f t="shared" si="0"/>
        <v>6.8001885734115852</v>
      </c>
      <c r="G35">
        <f t="shared" si="1"/>
        <v>2.8478076210306327</v>
      </c>
      <c r="I35">
        <v>1.12341</v>
      </c>
      <c r="J35">
        <v>2.0160399999999998</v>
      </c>
      <c r="K35" s="7">
        <f t="shared" si="3"/>
        <v>1.7945718838180182</v>
      </c>
      <c r="L35">
        <f>ABS(K35-$K$3)</f>
        <v>9.1142401896267655E-2</v>
      </c>
      <c r="N35">
        <v>5.6448900000000002</v>
      </c>
      <c r="O35">
        <v>50.250799999999998</v>
      </c>
      <c r="Q35">
        <v>5.8958000000000004</v>
      </c>
      <c r="S35">
        <v>3.2874099999999999</v>
      </c>
    </row>
    <row r="36" spans="2:19" x14ac:dyDescent="0.2">
      <c r="B36" s="28" t="s">
        <v>14</v>
      </c>
      <c r="C36" s="31" t="s">
        <v>6</v>
      </c>
      <c r="D36">
        <v>0.480514</v>
      </c>
      <c r="E36">
        <v>3.28783</v>
      </c>
      <c r="F36" s="7">
        <f t="shared" si="0"/>
        <v>6.8423188502312104</v>
      </c>
      <c r="G36">
        <f t="shared" si="1"/>
        <v>2.8899378978502579</v>
      </c>
      <c r="I36">
        <v>1.20478</v>
      </c>
      <c r="J36">
        <v>2.0672299999999999</v>
      </c>
      <c r="K36" s="7">
        <f t="shared" si="3"/>
        <v>1.7158568369328839</v>
      </c>
      <c r="L36">
        <f>ABS(K36-$K$3)</f>
        <v>0.16985744878140197</v>
      </c>
      <c r="N36">
        <v>5.9012500000000001</v>
      </c>
      <c r="O36">
        <v>52.503700000000002</v>
      </c>
      <c r="Q36">
        <v>6.6056400000000002</v>
      </c>
      <c r="S36">
        <v>3.4754</v>
      </c>
    </row>
    <row r="37" spans="2:19" x14ac:dyDescent="0.2">
      <c r="B37" s="28" t="s">
        <v>14</v>
      </c>
      <c r="C37" s="32" t="s">
        <v>7</v>
      </c>
      <c r="D37">
        <v>0.43973800000000002</v>
      </c>
      <c r="E37">
        <v>3.6107</v>
      </c>
      <c r="F37" s="7">
        <f t="shared" si="0"/>
        <v>8.2110256561861839</v>
      </c>
      <c r="G37">
        <f t="shared" si="1"/>
        <v>4.2586447038052313</v>
      </c>
      <c r="I37">
        <v>1.14232</v>
      </c>
      <c r="J37">
        <v>2.40422</v>
      </c>
      <c r="K37" s="7">
        <f t="shared" si="3"/>
        <v>2.1046817003991878</v>
      </c>
      <c r="L37">
        <f>ABS(K37-$K$3)</f>
        <v>0.21896741468490188</v>
      </c>
      <c r="N37">
        <v>6.53972</v>
      </c>
      <c r="O37">
        <v>58.223300000000002</v>
      </c>
      <c r="Q37">
        <v>6.3208900000000003</v>
      </c>
      <c r="S37">
        <v>3.6525599999999998</v>
      </c>
    </row>
    <row r="38" spans="2:19" x14ac:dyDescent="0.2">
      <c r="B38" s="28" t="s">
        <v>14</v>
      </c>
      <c r="C38" s="33" t="s">
        <v>8</v>
      </c>
      <c r="D38">
        <v>0.46559200000000001</v>
      </c>
      <c r="E38">
        <v>3.4268700000000001</v>
      </c>
      <c r="F38" s="7">
        <f t="shared" si="0"/>
        <v>7.3602424440282483</v>
      </c>
      <c r="G38">
        <f t="shared" si="1"/>
        <v>3.4078614916472958</v>
      </c>
      <c r="I38">
        <v>1.1450499999999999</v>
      </c>
      <c r="J38">
        <v>2.23062</v>
      </c>
      <c r="K38" s="7">
        <f t="shared" si="3"/>
        <v>1.9480546701017425</v>
      </c>
      <c r="L38">
        <f>ABS(K38-$K$3)</f>
        <v>6.2340384387456593E-2</v>
      </c>
      <c r="N38">
        <v>6.2171799999999999</v>
      </c>
      <c r="O38">
        <v>55.320500000000003</v>
      </c>
      <c r="Q38">
        <v>5.9209100000000001</v>
      </c>
      <c r="S38">
        <v>3.5979000000000001</v>
      </c>
    </row>
    <row r="39" spans="2:19" x14ac:dyDescent="0.2">
      <c r="B39" s="29" t="s">
        <v>14</v>
      </c>
      <c r="C39" s="34" t="s">
        <v>9</v>
      </c>
      <c r="D39">
        <v>0.50662700000000005</v>
      </c>
      <c r="E39">
        <v>3.1228099999999999</v>
      </c>
      <c r="F39" s="8">
        <f t="shared" si="0"/>
        <v>6.1639233597893508</v>
      </c>
      <c r="G39">
        <f t="shared" si="1"/>
        <v>2.2115424074083982</v>
      </c>
      <c r="I39">
        <v>1.14564</v>
      </c>
      <c r="J39">
        <v>2.0194000000000001</v>
      </c>
      <c r="K39" s="8">
        <f t="shared" si="3"/>
        <v>1.7626828672183235</v>
      </c>
      <c r="L39">
        <f>ABS(K39-$K$3)</f>
        <v>0.12303141849596244</v>
      </c>
      <c r="N39">
        <v>5.7396599999999998</v>
      </c>
      <c r="O39">
        <v>51.0578</v>
      </c>
      <c r="Q39">
        <v>5.5046499999999998</v>
      </c>
      <c r="S39">
        <v>3.3994900000000001</v>
      </c>
    </row>
  </sheetData>
  <conditionalFormatting sqref="G5:G39">
    <cfRule type="colorScale" priority="2">
      <colorScale>
        <cfvo type="min"/>
        <cfvo type="max"/>
        <color rgb="FFFCFCFF"/>
        <color rgb="FFF8696B"/>
      </colorScale>
    </cfRule>
  </conditionalFormatting>
  <conditionalFormatting sqref="L5:L3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2BDE-B4E4-A647-A4B3-5C71D5BC4EFD}">
  <dimension ref="B2:G40"/>
  <sheetViews>
    <sheetView zoomScale="110" zoomScaleNormal="110" workbookViewId="0">
      <selection activeCell="D5" sqref="D5:F5"/>
    </sheetView>
  </sheetViews>
  <sheetFormatPr baseColWidth="10" defaultRowHeight="16" x14ac:dyDescent="0.2"/>
  <cols>
    <col min="2" max="2" width="4.1640625" customWidth="1"/>
    <col min="3" max="3" width="3.33203125" customWidth="1"/>
    <col min="6" max="6" width="11.6640625" customWidth="1"/>
  </cols>
  <sheetData>
    <row r="2" spans="2:7" ht="17" thickBot="1" x14ac:dyDescent="0.25"/>
    <row r="3" spans="2:7" ht="17" thickBot="1" x14ac:dyDescent="0.25">
      <c r="D3" s="5" t="s">
        <v>17</v>
      </c>
      <c r="G3" t="s">
        <v>16</v>
      </c>
    </row>
    <row r="4" spans="2:7" x14ac:dyDescent="0.2">
      <c r="D4" t="s">
        <v>15</v>
      </c>
    </row>
    <row r="5" spans="2:7" x14ac:dyDescent="0.2">
      <c r="D5" s="4" t="s">
        <v>1</v>
      </c>
      <c r="E5" s="4" t="s">
        <v>2</v>
      </c>
      <c r="F5" s="4" t="s">
        <v>19</v>
      </c>
    </row>
    <row r="6" spans="2:7" x14ac:dyDescent="0.2">
      <c r="B6" t="s">
        <v>4</v>
      </c>
      <c r="C6" t="s">
        <v>5</v>
      </c>
      <c r="D6">
        <v>0.17178299999999999</v>
      </c>
      <c r="E6">
        <v>1.4943299999999999</v>
      </c>
      <c r="F6">
        <f>E6/D6</f>
        <v>8.6989399416705968</v>
      </c>
    </row>
    <row r="7" spans="2:7" x14ac:dyDescent="0.2">
      <c r="B7" t="s">
        <v>4</v>
      </c>
      <c r="C7" t="s">
        <v>6</v>
      </c>
      <c r="D7">
        <v>0.16395199999999999</v>
      </c>
      <c r="E7">
        <v>1.55379</v>
      </c>
      <c r="F7">
        <f t="shared" ref="F7:F40" si="0">E7/D7</f>
        <v>9.4771030545525523</v>
      </c>
    </row>
    <row r="8" spans="2:7" x14ac:dyDescent="0.2">
      <c r="B8" t="s">
        <v>4</v>
      </c>
      <c r="C8" t="s">
        <v>7</v>
      </c>
      <c r="D8">
        <v>0.13153599999999999</v>
      </c>
      <c r="E8">
        <v>1.63449</v>
      </c>
      <c r="F8">
        <f t="shared" si="0"/>
        <v>12.426179905121034</v>
      </c>
    </row>
    <row r="9" spans="2:7" x14ac:dyDescent="0.2">
      <c r="B9" t="s">
        <v>4</v>
      </c>
      <c r="C9" t="s">
        <v>8</v>
      </c>
      <c r="D9">
        <v>0.15550900000000001</v>
      </c>
      <c r="E9">
        <v>1.5852200000000001</v>
      </c>
      <c r="F9">
        <f t="shared" si="0"/>
        <v>10.193750844002597</v>
      </c>
    </row>
    <row r="10" spans="2:7" x14ac:dyDescent="0.2">
      <c r="B10" t="s">
        <v>4</v>
      </c>
      <c r="C10" t="s">
        <v>9</v>
      </c>
      <c r="D10">
        <v>0.20563400000000001</v>
      </c>
      <c r="E10">
        <v>1.54017</v>
      </c>
      <c r="F10">
        <f t="shared" si="0"/>
        <v>7.4898606261610432</v>
      </c>
    </row>
    <row r="11" spans="2:7" x14ac:dyDescent="0.2">
      <c r="B11" t="s">
        <v>3</v>
      </c>
      <c r="C11" t="s">
        <v>5</v>
      </c>
      <c r="D11">
        <v>0.16811699999999999</v>
      </c>
      <c r="E11">
        <v>1.58849</v>
      </c>
      <c r="F11">
        <f t="shared" si="0"/>
        <v>9.4487172623827451</v>
      </c>
    </row>
    <row r="12" spans="2:7" x14ac:dyDescent="0.2">
      <c r="B12" t="s">
        <v>3</v>
      </c>
      <c r="C12" t="s">
        <v>6</v>
      </c>
      <c r="D12">
        <v>0.153031</v>
      </c>
      <c r="E12">
        <v>1.6543000000000001</v>
      </c>
      <c r="F12">
        <f t="shared" si="0"/>
        <v>10.810227993021023</v>
      </c>
    </row>
    <row r="13" spans="2:7" x14ac:dyDescent="0.2">
      <c r="B13" t="s">
        <v>3</v>
      </c>
      <c r="C13" t="s">
        <v>7</v>
      </c>
      <c r="D13">
        <v>0.11830400000000001</v>
      </c>
      <c r="E13">
        <v>1.72123</v>
      </c>
      <c r="F13">
        <f t="shared" si="0"/>
        <v>14.549212199080335</v>
      </c>
    </row>
    <row r="14" spans="2:7" x14ac:dyDescent="0.2">
      <c r="B14" t="s">
        <v>3</v>
      </c>
      <c r="C14" t="s">
        <v>8</v>
      </c>
      <c r="D14">
        <v>0.152696</v>
      </c>
      <c r="E14">
        <v>1.67574</v>
      </c>
      <c r="F14">
        <f t="shared" si="0"/>
        <v>10.97435427254152</v>
      </c>
    </row>
    <row r="15" spans="2:7" x14ac:dyDescent="0.2">
      <c r="B15" t="s">
        <v>3</v>
      </c>
      <c r="C15" t="s">
        <v>9</v>
      </c>
      <c r="D15">
        <v>0.20449400000000001</v>
      </c>
      <c r="E15">
        <v>1.61466</v>
      </c>
      <c r="F15">
        <f t="shared" si="0"/>
        <v>7.8958795857091157</v>
      </c>
    </row>
    <row r="16" spans="2:7" x14ac:dyDescent="0.2">
      <c r="B16" t="s">
        <v>10</v>
      </c>
      <c r="C16" t="s">
        <v>5</v>
      </c>
      <c r="D16">
        <v>0.15134400000000001</v>
      </c>
      <c r="E16">
        <v>1.4964</v>
      </c>
      <c r="F16">
        <f t="shared" si="0"/>
        <v>9.8874088169996828</v>
      </c>
    </row>
    <row r="17" spans="2:6" x14ac:dyDescent="0.2">
      <c r="B17" t="s">
        <v>10</v>
      </c>
      <c r="C17" t="s">
        <v>6</v>
      </c>
      <c r="D17">
        <v>0.14471999999999999</v>
      </c>
      <c r="E17">
        <v>1.5561</v>
      </c>
      <c r="F17">
        <f t="shared" si="0"/>
        <v>10.752487562189057</v>
      </c>
    </row>
    <row r="18" spans="2:6" x14ac:dyDescent="0.2">
      <c r="B18" t="s">
        <v>10</v>
      </c>
      <c r="C18" t="s">
        <v>7</v>
      </c>
      <c r="D18">
        <v>0.110656</v>
      </c>
      <c r="E18">
        <v>1.6247400000000001</v>
      </c>
      <c r="F18">
        <f t="shared" si="0"/>
        <v>14.6828007518797</v>
      </c>
    </row>
    <row r="19" spans="2:6" x14ac:dyDescent="0.2">
      <c r="B19" t="s">
        <v>10</v>
      </c>
      <c r="C19" t="s">
        <v>8</v>
      </c>
      <c r="D19">
        <v>0.13389799999999999</v>
      </c>
      <c r="E19">
        <v>1.58385</v>
      </c>
      <c r="F19">
        <f t="shared" si="0"/>
        <v>11.828780116207861</v>
      </c>
    </row>
    <row r="20" spans="2:6" x14ac:dyDescent="0.2">
      <c r="B20" t="s">
        <v>10</v>
      </c>
      <c r="C20" t="s">
        <v>9</v>
      </c>
      <c r="D20">
        <v>0.182537</v>
      </c>
      <c r="E20">
        <v>1.55535</v>
      </c>
      <c r="F20">
        <f t="shared" si="0"/>
        <v>8.5207382612840128</v>
      </c>
    </row>
    <row r="21" spans="2:6" x14ac:dyDescent="0.2">
      <c r="B21" t="s">
        <v>11</v>
      </c>
      <c r="C21" t="s">
        <v>5</v>
      </c>
      <c r="D21">
        <v>0.135515</v>
      </c>
      <c r="E21">
        <v>1.40629</v>
      </c>
      <c r="F21">
        <f t="shared" si="0"/>
        <v>10.37737519831753</v>
      </c>
    </row>
    <row r="22" spans="2:6" x14ac:dyDescent="0.2">
      <c r="B22" t="s">
        <v>11</v>
      </c>
      <c r="C22" t="s">
        <v>6</v>
      </c>
      <c r="D22">
        <v>0.12692300000000001</v>
      </c>
      <c r="E22">
        <v>1.4631000000000001</v>
      </c>
      <c r="F22">
        <f t="shared" si="0"/>
        <v>11.527461531794868</v>
      </c>
    </row>
    <row r="23" spans="2:6" x14ac:dyDescent="0.2">
      <c r="B23" t="s">
        <v>11</v>
      </c>
      <c r="C23" t="s">
        <v>7</v>
      </c>
      <c r="D23">
        <v>0.10270700000000001</v>
      </c>
      <c r="E23">
        <v>1.5246</v>
      </c>
      <c r="F23">
        <f t="shared" si="0"/>
        <v>14.844168362429045</v>
      </c>
    </row>
    <row r="24" spans="2:6" x14ac:dyDescent="0.2">
      <c r="B24" t="s">
        <v>11</v>
      </c>
      <c r="C24" t="s">
        <v>8</v>
      </c>
      <c r="D24">
        <v>0.122166</v>
      </c>
      <c r="E24">
        <v>1.4863</v>
      </c>
      <c r="F24">
        <f t="shared" si="0"/>
        <v>12.166232830738503</v>
      </c>
    </row>
    <row r="25" spans="2:6" x14ac:dyDescent="0.2">
      <c r="B25" t="s">
        <v>11</v>
      </c>
      <c r="C25" t="s">
        <v>9</v>
      </c>
      <c r="D25">
        <v>0.168022</v>
      </c>
      <c r="E25">
        <v>1.4474199999999999</v>
      </c>
      <c r="F25">
        <f t="shared" si="0"/>
        <v>8.6144671531109012</v>
      </c>
    </row>
    <row r="26" spans="2:6" x14ac:dyDescent="0.2">
      <c r="B26" t="s">
        <v>12</v>
      </c>
      <c r="C26" t="s">
        <v>5</v>
      </c>
      <c r="D26">
        <v>0.21310299999999999</v>
      </c>
      <c r="E26">
        <v>2.2935400000000001</v>
      </c>
      <c r="F26">
        <f t="shared" si="0"/>
        <v>10.76258898279236</v>
      </c>
    </row>
    <row r="27" spans="2:6" x14ac:dyDescent="0.2">
      <c r="B27" t="s">
        <v>12</v>
      </c>
      <c r="C27" t="s">
        <v>6</v>
      </c>
      <c r="D27">
        <v>0.19220499999999999</v>
      </c>
      <c r="E27">
        <v>2.36931</v>
      </c>
      <c r="F27">
        <f t="shared" si="0"/>
        <v>12.326994615124477</v>
      </c>
    </row>
    <row r="28" spans="2:6" x14ac:dyDescent="0.2">
      <c r="B28" t="s">
        <v>12</v>
      </c>
      <c r="C28" t="s">
        <v>7</v>
      </c>
      <c r="D28">
        <v>0.154228</v>
      </c>
      <c r="E28">
        <v>2.42218</v>
      </c>
      <c r="F28">
        <f t="shared" si="0"/>
        <v>15.705189719117151</v>
      </c>
    </row>
    <row r="29" spans="2:6" x14ac:dyDescent="0.2">
      <c r="B29" t="s">
        <v>12</v>
      </c>
      <c r="C29" t="s">
        <v>8</v>
      </c>
      <c r="D29">
        <v>0.20512</v>
      </c>
      <c r="E29">
        <v>2.37893</v>
      </c>
      <c r="F29">
        <f t="shared" si="0"/>
        <v>11.597747659906396</v>
      </c>
    </row>
    <row r="30" spans="2:6" x14ac:dyDescent="0.2">
      <c r="B30" t="s">
        <v>12</v>
      </c>
      <c r="C30" t="s">
        <v>9</v>
      </c>
      <c r="D30">
        <v>0.25304300000000002</v>
      </c>
      <c r="E30">
        <v>2.3181600000000002</v>
      </c>
      <c r="F30">
        <f t="shared" si="0"/>
        <v>9.1611307169137266</v>
      </c>
    </row>
    <row r="31" spans="2:6" x14ac:dyDescent="0.2">
      <c r="B31" t="s">
        <v>13</v>
      </c>
      <c r="C31" s="1" t="s">
        <v>5</v>
      </c>
      <c r="D31">
        <v>0.201908</v>
      </c>
      <c r="E31">
        <v>1.8006599999999999</v>
      </c>
      <c r="F31">
        <f t="shared" si="0"/>
        <v>8.9182201794876867</v>
      </c>
    </row>
    <row r="32" spans="2:6" x14ac:dyDescent="0.2">
      <c r="B32" t="s">
        <v>13</v>
      </c>
      <c r="C32" s="1" t="s">
        <v>6</v>
      </c>
      <c r="D32">
        <v>0.19147700000000001</v>
      </c>
      <c r="E32">
        <v>1.8682799999999999</v>
      </c>
      <c r="F32">
        <f t="shared" si="0"/>
        <v>9.7572032150075465</v>
      </c>
    </row>
    <row r="33" spans="2:6" x14ac:dyDescent="0.2">
      <c r="B33" t="s">
        <v>13</v>
      </c>
      <c r="C33" s="1" t="s">
        <v>7</v>
      </c>
      <c r="D33">
        <v>0.14040900000000001</v>
      </c>
      <c r="E33">
        <v>1.9510799999999999</v>
      </c>
      <c r="F33">
        <f t="shared" si="0"/>
        <v>13.895690447193555</v>
      </c>
    </row>
    <row r="34" spans="2:6" x14ac:dyDescent="0.2">
      <c r="B34" t="s">
        <v>13</v>
      </c>
      <c r="C34" s="1" t="s">
        <v>8</v>
      </c>
      <c r="D34">
        <v>0.18082799999999999</v>
      </c>
      <c r="E34">
        <v>1.8969400000000001</v>
      </c>
      <c r="F34">
        <f t="shared" si="0"/>
        <v>10.490300174751699</v>
      </c>
    </row>
    <row r="35" spans="2:6" x14ac:dyDescent="0.2">
      <c r="B35" t="s">
        <v>13</v>
      </c>
      <c r="C35" s="1" t="s">
        <v>9</v>
      </c>
      <c r="D35">
        <v>0.23525099999999999</v>
      </c>
      <c r="E35">
        <v>1.8367</v>
      </c>
      <c r="F35">
        <f t="shared" si="0"/>
        <v>7.8074057070958256</v>
      </c>
    </row>
    <row r="36" spans="2:6" x14ac:dyDescent="0.2">
      <c r="B36" t="s">
        <v>14</v>
      </c>
      <c r="C36" s="1" t="s">
        <v>5</v>
      </c>
      <c r="D36">
        <v>0.17451</v>
      </c>
      <c r="E36">
        <v>1.5482499999999999</v>
      </c>
      <c r="F36">
        <f t="shared" si="0"/>
        <v>8.8719844135006589</v>
      </c>
    </row>
    <row r="37" spans="2:6" x14ac:dyDescent="0.2">
      <c r="B37" t="s">
        <v>14</v>
      </c>
      <c r="C37" s="1" t="s">
        <v>6</v>
      </c>
      <c r="D37">
        <v>0.17185700000000001</v>
      </c>
      <c r="E37">
        <v>1.6109</v>
      </c>
      <c r="F37">
        <f t="shared" si="0"/>
        <v>9.3734907510313796</v>
      </c>
    </row>
    <row r="38" spans="2:6" x14ac:dyDescent="0.2">
      <c r="B38" t="s">
        <v>14</v>
      </c>
      <c r="C38" s="1" t="s">
        <v>7</v>
      </c>
      <c r="D38">
        <v>0.121768</v>
      </c>
      <c r="E38">
        <v>1.69472</v>
      </c>
      <c r="F38">
        <f t="shared" si="0"/>
        <v>13.917613823007686</v>
      </c>
    </row>
    <row r="39" spans="2:6" x14ac:dyDescent="0.2">
      <c r="B39" t="s">
        <v>14</v>
      </c>
      <c r="C39" s="1" t="s">
        <v>8</v>
      </c>
      <c r="D39">
        <v>0.150034</v>
      </c>
      <c r="E39">
        <v>1.6222399999999999</v>
      </c>
      <c r="F39">
        <f t="shared" si="0"/>
        <v>10.812482503965768</v>
      </c>
    </row>
    <row r="40" spans="2:6" x14ac:dyDescent="0.2">
      <c r="B40" t="s">
        <v>14</v>
      </c>
      <c r="C40" s="1" t="s">
        <v>9</v>
      </c>
      <c r="D40">
        <v>0.20677699999999999</v>
      </c>
      <c r="E40">
        <v>1.5862700000000001</v>
      </c>
      <c r="F40">
        <f t="shared" si="0"/>
        <v>7.6714044598770661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18O</vt:lpstr>
      <vt:lpstr>18F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Kawecka</dc:creator>
  <cp:lastModifiedBy>Anna Kawecka</cp:lastModifiedBy>
  <dcterms:created xsi:type="dcterms:W3CDTF">2025-06-16T12:28:20Z</dcterms:created>
  <dcterms:modified xsi:type="dcterms:W3CDTF">2025-06-18T11:49:47Z</dcterms:modified>
</cp:coreProperties>
</file>